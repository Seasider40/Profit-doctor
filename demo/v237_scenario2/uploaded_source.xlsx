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301add489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248f56c33cdb4644"/>
    <x:sheet xmlns:r="http://schemas.openxmlformats.org/officeDocument/2006/relationships" name="AR Customer Ledger" sheetId="2" r:id="R4f618ba97a74418c"/>
    <x:sheet xmlns:r="http://schemas.openxmlformats.org/officeDocument/2006/relationships" name="AP Supplier Ledger" sheetId="3" r:id="R640122d2dbad45af"/>
    <x:sheet xmlns:r="http://schemas.openxmlformats.org/officeDocument/2006/relationships" name="Staff Costs" sheetId="4" r:id="R6e0c18294cb04798"/>
    <x:sheet xmlns:r="http://schemas.openxmlformats.org/officeDocument/2006/relationships" name="Capacity" sheetId="5" r:id="R646a5b9d5f674d50"/>
    <x:sheet xmlns:r="http://schemas.openxmlformats.org/officeDocument/2006/relationships" name="Management Accounts" sheetId="6" r:id="Rd6e3ec263796439b"/>
    <x:sheet xmlns:r="http://schemas.openxmlformats.org/officeDocument/2006/relationships" name="Trial Balance" sheetId="7" r:id="Ref186008cf424a3b"/>
    <x:sheet xmlns:r="http://schemas.openxmlformats.org/officeDocument/2006/relationships" name="Reconciliations" sheetId="8" r:id="R9dc9a770022f41c6"/>
    <x:sheet xmlns:r="http://schemas.openxmlformats.org/officeDocument/2006/relationships" name="Overview" sheetId="9" r:id="R03938d216db24b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£#,##0;[Red](£#,##0);-"/>
    <x:numFmt numFmtId="201" formatCode="0.0%;[Red](0.0%);-"/>
    <x:numFmt numFmtId="202" formatCode="#,##0.0;[Red](#,##0.0);-"/>
    <x:numFmt numFmtId="203" formatCode="0.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4" fillId="0" borderId="1" xfId="0" applyNumberFormat="1" applyFont="1" applyFill="1" applyBorder="1"/>
    <x:xf numFmtId="200" fontId="0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3" fillId="0" borderId="0" xfId="0" applyNumberFormat="1" applyFont="1" applyFill="1" applyBorder="1"/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202" fontId="3" fillId="0" borderId="1" xfId="0" applyNumberFormat="1" applyFont="1" applyFill="1" applyBorder="1"/>
    <x:xf numFmtId="202" fontId="0" fillId="0" borderId="1" xfId="0" applyNumberFormat="1" applyFont="1" applyFill="1" applyBorder="1"/>
    <x:xf numFmtId="202" fontId="4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2" fontId="8" fillId="0" borderId="0" xfId="0" applyNumberFormat="1" applyFont="1" applyFill="1" applyBorder="1"/>
    <x:xf numFmtId="202" fontId="8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203" fontId="8" fillId="0" borderId="0" xfId="0" applyNumberFormat="1" applyFont="1" applyFill="1" applyBorder="1"/>
    <x:xf numFmtId="203" fontId="8" fillId="0" borderId="1" xfId="0" applyNumberFormat="1" applyFont="1" applyFill="1" applyBorder="1"/>
  </x:cellXfs>
  <x:cellStyles count="1">
    <x:cellStyle name="Normal" xfId="0"/>
  </x:cellStyles>
  <x:dxfs count="6"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0fe7a202544b8b" /><Relationship Type="http://schemas.openxmlformats.org/officeDocument/2006/relationships/theme" Target="/xl/theme/theme1.xml" Id="Rda643c8479a24090" /><Relationship Type="http://schemas.openxmlformats.org/officeDocument/2006/relationships/sharedStrings" Target="/xl/sharedStrings.xml" Id="R5e74380f95514935" /><Relationship Type="http://schemas.openxmlformats.org/officeDocument/2006/relationships/worksheet" Target="/xl/worksheets/sheet1.xml" Id="R248f56c33cdb4644" /><Relationship Type="http://schemas.openxmlformats.org/officeDocument/2006/relationships/worksheet" Target="/xl/worksheets/sheet2.xml" Id="R4f618ba97a74418c" /><Relationship Type="http://schemas.openxmlformats.org/officeDocument/2006/relationships/worksheet" Target="/xl/worksheets/sheet3.xml" Id="R640122d2dbad45af" /><Relationship Type="http://schemas.openxmlformats.org/officeDocument/2006/relationships/worksheet" Target="/xl/worksheets/sheet4.xml" Id="R6e0c18294cb04798" /><Relationship Type="http://schemas.openxmlformats.org/officeDocument/2006/relationships/worksheet" Target="/xl/worksheets/sheet5.xml" Id="R646a5b9d5f674d50" /><Relationship Type="http://schemas.openxmlformats.org/officeDocument/2006/relationships/worksheet" Target="/xl/worksheets/sheet6.xml" Id="Rd6e3ec263796439b" /><Relationship Type="http://schemas.openxmlformats.org/officeDocument/2006/relationships/worksheet" Target="/xl/worksheets/sheet7.xml" Id="Ref186008cf424a3b" /><Relationship Type="http://schemas.openxmlformats.org/officeDocument/2006/relationships/worksheet" Target="/xl/worksheets/sheet8.xml" Id="R9dc9a770022f41c6" /><Relationship Type="http://schemas.openxmlformats.org/officeDocument/2006/relationships/worksheet" Target="/xl/worksheets/sheet9.xml" Id="R03938d216db24b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" hidden="0" customWidth="1"/>
    <x:col min="3" max="3" width="34" hidden="0" customWidth="1"/>
    <x:col min="4" max="4" width="34" hidden="0" customWidth="1"/>
  </x:cols>
  <x:sheetData>
    <x:row r="1" ht="28" customHeight="1">
      <x:c r="A1" s="3" t="str">
        <x:v>Scenario 2 – Manufacturing Company Assumptions</x:v>
      </x:c>
    </x:row>
    <x:row r="3">
      <x:c r="A3" s="9" t="str">
        <x:v>Assumption</x:v>
      </x:c>
      <x:c r="B3" s="9" t="str">
        <x:v>Value</x:v>
      </x:c>
      <x:c r="C3" s="9" t="str">
        <x:v>Unit / Comment</x:v>
      </x:c>
      <x:c r="D3" s="9" t="str">
        <x:v>Purpose</x:v>
      </x:c>
    </x:row>
    <x:row r="4">
      <x:c r="A4" t="str">
        <x:v>Annual turnover</x:v>
      </x:c>
      <x:c r="B4" s="16" t="n">
        <x:v>15000000</x:v>
      </x:c>
      <x:c r="C4" t="str">
        <x:v>£</x:v>
      </x:c>
      <x:c r="D4" t="str">
        <x:v>Theoretical company</x:v>
      </x:c>
    </x:row>
    <x:row r="5">
      <x:c r="A5" t="str">
        <x:v>Employees</x:v>
      </x:c>
      <x:c r="B5" s="14" t="n">
        <x:v>25</x:v>
      </x:c>
      <x:c r="C5" t="str">
        <x:v>headcount</x:v>
      </x:c>
      <x:c r="D5" t="str">
        <x:v>Theoretical company</x:v>
      </x:c>
    </x:row>
    <x:row r="6">
      <x:c r="A6" t="str">
        <x:v>Target gross margin</x:v>
      </x:c>
      <x:c r="B6" s="18" t="n">
        <x:v>0.34</x:v>
      </x:c>
      <x:c r="C6" t="str">
        <x:v>%</x:v>
      </x:c>
      <x:c r="D6" t="str">
        <x:v>Management target</x:v>
      </x:c>
    </x:row>
    <x:row r="7">
      <x:c r="A7" t="str">
        <x:v>Target debtor days</x:v>
      </x:c>
      <x:c r="B7" s="14" t="n">
        <x:v>45</x:v>
      </x:c>
      <x:c r="C7" t="str">
        <x:v>days</x:v>
      </x:c>
      <x:c r="D7" t="str">
        <x:v>Credit policy</x:v>
      </x:c>
    </x:row>
    <x:row r="8">
      <x:c r="A8" t="str">
        <x:v>Opening bank debt</x:v>
      </x:c>
      <x:c r="B8" s="16" t="n">
        <x:v>1750000</x:v>
      </x:c>
      <x:c r="C8" t="str">
        <x:v>£</x:v>
      </x:c>
      <x:c r="D8" t="str">
        <x:v>Funding structure</x:v>
      </x:c>
    </x:row>
    <x:row r="9">
      <x:c r="A9" t="str">
        <x:v>Practical capacity factor</x:v>
      </x:c>
      <x:c r="B9" s="18" t="n">
        <x:v>0.84</x:v>
      </x:c>
      <x:c r="C9" t="str">
        <x:v>%</x:v>
      </x:c>
      <x:c r="D9" t="str">
        <x:v>Leave / downtime allowance</x:v>
      </x:c>
    </x:row>
    <x:row r="10">
      <x:c r="A10" t="str">
        <x:v>Annual hours per FTE</x:v>
      </x:c>
      <x:c r="B10" s="14" t="n">
        <x:v>1925</x:v>
      </x:c>
      <x:c r="C10" t="str">
        <x:v>hours</x:v>
      </x:c>
      <x:c r="D10" t="str">
        <x:v>Capacity model</x:v>
      </x:c>
    </x:row>
    <x:row r="11">
      <x:c r="A11" t="str">
        <x:v>Employer NI / payroll on-cost</x:v>
      </x:c>
      <x:c r="B11" s="18" t="n">
        <x:v>0.138</x:v>
      </x:c>
      <x:c r="C11" t="str">
        <x:v>%</x:v>
      </x:c>
      <x:c r="D11" t="str">
        <x:v>Simplified theoretical rate</x:v>
      </x:c>
    </x:row>
    <x:row r="12">
      <x:c r="A12" t="str">
        <x:v>Employer pension</x:v>
      </x:c>
      <x:c r="B12" s="18" t="n">
        <x:v>0.05</x:v>
      </x:c>
      <x:c r="C12" t="str">
        <x:v>%</x:v>
      </x:c>
      <x:c r="D12" t="str">
        <x:v>Illustrative contribution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.75" hidden="0" customWidth="1"/>
    <x:col min="3" max="3" width="12.380000114440918" hidden="0" customWidth="1"/>
    <x:col min="4" max="4" width="11.5" hidden="0" customWidth="1"/>
    <x:col min="5" max="5" width="9.880000114440918" hidden="0" customWidth="1"/>
    <x:col min="6" max="6" width="8.75" hidden="0" customWidth="1"/>
    <x:col min="7" max="7" width="7.630000114440918" hidden="0" customWidth="1"/>
    <x:col min="8" max="8" width="12" hidden="0" customWidth="1"/>
    <x:col min="9" max="9" width="24" hidden="0" customWidth="1"/>
  </x:cols>
  <x:sheetData>
    <x:row r="1" ht="28" customHeight="1">
      <x:c r="A1" s="3" t="str">
        <x:v>Accounts Receivable Customer Ledger – Intentionally Contains Control Issues</x:v>
      </x:c>
    </x:row>
    <x:row r="3">
      <x:c r="A3" s="9" t="str">
        <x:v>Customer</x:v>
      </x:c>
      <x:c r="B3" s="9" t="str">
        <x:v>Annual Sales (£)</x:v>
      </x:c>
      <x:c r="C3" s="9" t="str">
        <x:v>Gross Margin %</x:v>
      </x:c>
      <x:c r="D3" s="9" t="str">
        <x:v>AR Balance (£)</x:v>
      </x:c>
      <x:c r="E3" s="9" t="str">
        <x:v>Debtor Days</x:v>
      </x:c>
      <x:c r="F3" s="9" t="str">
        <x:v>Current (£)</x:v>
      </x:c>
      <x:c r="G3" s="9" t="str">
        <x:v>31–60 (£)</x:v>
      </x:c>
      <x:c r="H3" s="9" t="str">
        <x:v>61–90 / 90+ (£)</x:v>
      </x:c>
      <x:c r="I3" s="9" t="str">
        <x:v>Issue Flag</x:v>
      </x:c>
    </x:row>
    <x:row r="4">
      <x:c r="A4" s="14" t="str">
        <x:v>AeroFab UK</x:v>
      </x:c>
      <x:c r="B4" s="16" t="n">
        <x:v>1644000</x:v>
      </x:c>
      <x:c r="C4" s="18" t="n">
        <x:v>0.27</x:v>
      </x:c>
      <x:c r="D4" s="16" t="n">
        <x:v>279255</x:v>
      </x:c>
      <x:c r="E4" s="14" t="n">
        <x:v>62</x:v>
      </x:c>
      <x:c r="F4" s="16" t="n">
        <x:v>226507</x:v>
      </x:c>
      <x:c r="G4" s="16" t="n">
        <x:v>20044</x:v>
      </x:c>
      <x:c r="H4" s="16" t="n">
        <x:v>32704</x:v>
      </x:c>
      <x:c r="I4" s="14" t="str">
        <x:v>OVERDUE</x:v>
      </x:c>
    </x:row>
    <x:row r="5">
      <x:c r="A5" s="14" t="str">
        <x:v>Barton Process</x:v>
      </x:c>
      <x:c r="B5" s="16" t="n">
        <x:v>1370000</x:v>
      </x:c>
      <x:c r="C5" s="18" t="n">
        <x:v>0.19</x:v>
      </x:c>
      <x:c r="D5" s="16" t="n">
        <x:v>364082</x:v>
      </x:c>
      <x:c r="E5" s="14" t="n">
        <x:v>97</x:v>
      </x:c>
      <x:c r="F5" s="16" t="n">
        <x:v>153724</x:v>
      </x:c>
      <x:c r="G5" s="16" t="n">
        <x:v>79936</x:v>
      </x:c>
      <x:c r="H5" s="16" t="n">
        <x:v>130422</x:v>
      </x:c>
      <x:c r="I5" s="14" t="str">
        <x:v>LOW MARGIN + OVERDUE</x:v>
      </x:c>
    </x:row>
    <x:row r="6">
      <x:c r="A6" s="14" t="str">
        <x:v>Cobalt Engineering</x:v>
      </x:c>
      <x:c r="B6" s="16" t="n">
        <x:v>1233000</x:v>
      </x:c>
      <x:c r="C6" s="18" t="n">
        <x:v>0.38</x:v>
      </x:c>
      <x:c r="D6" s="16" t="n">
        <x:v>138501</x:v>
      </x:c>
      <x:c r="E6" s="14" t="n">
        <x:v>41</x:v>
      </x:c>
      <x:c r="F6" s="16" t="n">
        <x:v>138501</x:v>
      </x:c>
      <x:c r="G6" s="16" t="n">
        <x:v>0</x:v>
      </x:c>
      <x:c r="H6" s="16" t="n">
        <x:v>0</x:v>
      </x:c>
      <x:c r="I6" s="14" t="str">
        <x:v>OK</x:v>
      </x:c>
    </x:row>
    <x:row r="7">
      <x:c r="A7" s="14" t="str">
        <x:v>Dales Packaging</x:v>
      </x:c>
      <x:c r="B7" s="16" t="n">
        <x:v>1096000</x:v>
      </x:c>
      <x:c r="C7" s="18" t="n">
        <x:v>0.31</x:v>
      </x:c>
      <x:c r="D7" s="16" t="n">
        <x:v>144132</x:v>
      </x:c>
      <x:c r="E7" s="14" t="n">
        <x:v>48</x:v>
      </x:c>
      <x:c r="F7" s="16" t="n">
        <x:v>139328</x:v>
      </x:c>
      <x:c r="G7" s="16" t="n">
        <x:v>1826</x:v>
      </x:c>
      <x:c r="H7" s="16" t="n">
        <x:v>2978</x:v>
      </x:c>
      <x:c r="I7" s="14" t="str">
        <x:v>OK</x:v>
      </x:c>
    </x:row>
    <x:row r="8">
      <x:c r="A8" s="14" t="str">
        <x:v>Edge Mobility</x:v>
      </x:c>
      <x:c r="B8" s="16" t="n">
        <x:v>959000</x:v>
      </x:c>
      <x:c r="C8" s="18" t="n">
        <x:v>0.23</x:v>
      </x:c>
      <x:c r="D8" s="16" t="n">
        <x:v>204937</x:v>
      </x:c>
      <x:c r="E8" s="14" t="n">
        <x:v>78</x:v>
      </x:c>
      <x:c r="F8" s="16" t="n">
        <x:v>129793</x:v>
      </x:c>
      <x:c r="G8" s="16" t="n">
        <x:v>28555</x:v>
      </x:c>
      <x:c r="H8" s="16" t="n">
        <x:v>46589</x:v>
      </x:c>
      <x:c r="I8" s="14" t="str">
        <x:v>LOW MARGIN + OVERDUE</x:v>
      </x:c>
    </x:row>
    <x:row r="9">
      <x:c r="A9" s="14" t="str">
        <x:v>Futura Systems</x:v>
      </x:c>
      <x:c r="B9" s="16" t="n">
        <x:v>890000</x:v>
      </x:c>
      <x:c r="C9" s="18" t="n">
        <x:v>0.36</x:v>
      </x:c>
      <x:c r="D9" s="16" t="n">
        <x:v>90219</x:v>
      </x:c>
      <x:c r="E9" s="14" t="n">
        <x:v>37</x:v>
      </x:c>
      <x:c r="F9" s="16" t="n">
        <x:v>90219</x:v>
      </x:c>
      <x:c r="G9" s="16" t="n">
        <x:v>0</x:v>
      </x:c>
      <x:c r="H9" s="16" t="n">
        <x:v>0</x:v>
      </x:c>
      <x:c r="I9" s="14" t="str">
        <x:v>OK</x:v>
      </x:c>
    </x:row>
    <x:row r="10">
      <x:c r="A10" s="14" t="str">
        <x:v>Grafton Foods</x:v>
      </x:c>
      <x:c r="B10" s="16" t="n">
        <x:v>822000</x:v>
      </x:c>
      <x:c r="C10" s="18" t="n">
        <x:v>0.35</x:v>
      </x:c>
      <x:c r="D10" s="16" t="n">
        <x:v>99090</x:v>
      </x:c>
      <x:c r="E10" s="14" t="n">
        <x:v>44</x:v>
      </x:c>
      <x:c r="F10" s="16" t="n">
        <x:v>99090</x:v>
      </x:c>
      <x:c r="G10" s="16" t="n">
        <x:v>0</x:v>
      </x:c>
      <x:c r="H10" s="16" t="n">
        <x:v>0</x:v>
      </x:c>
      <x:c r="I10" s="14" t="str">
        <x:v>OK</x:v>
      </x:c>
    </x:row>
    <x:row r="11">
      <x:c r="A11" s="14" t="str">
        <x:v>Helix Marine</x:v>
      </x:c>
      <x:c r="B11" s="16" t="n">
        <x:v>753000</x:v>
      </x:c>
      <x:c r="C11" s="18" t="n">
        <x:v>0.17</x:v>
      </x:c>
      <x:c r="D11" s="16" t="n">
        <x:v>233121</x:v>
      </x:c>
      <x:c r="E11" s="14" t="n">
        <x:v>113</x:v>
      </x:c>
      <x:c r="F11" s="16" t="n">
        <x:v>56985</x:v>
      </x:c>
      <x:c r="G11" s="16" t="n">
        <x:v>66932</x:v>
      </x:c>
      <x:c r="H11" s="16" t="n">
        <x:v>109204</x:v>
      </x:c>
      <x:c r="I11" s="14" t="str">
        <x:v>LOW MARGIN + OVERDUE</x:v>
      </x:c>
    </x:row>
    <x:row r="12">
      <x:c r="A12" s="14" t="str">
        <x:v>Innova Rail</x:v>
      </x:c>
      <x:c r="B12" s="16" t="n">
        <x:v>685000</x:v>
      </x:c>
      <x:c r="C12" s="18" t="n">
        <x:v>0.42</x:v>
      </x:c>
      <x:c r="D12" s="16" t="n">
        <x:v>58178</x:v>
      </x:c>
      <x:c r="E12" s="14" t="n">
        <x:v>31</x:v>
      </x:c>
      <x:c r="F12" s="16" t="n">
        <x:v>58178</x:v>
      </x:c>
      <x:c r="G12" s="16" t="n">
        <x:v>0</x:v>
      </x:c>
      <x:c r="H12" s="16" t="n">
        <x:v>0</x:v>
      </x:c>
      <x:c r="I12" s="14" t="str">
        <x:v>OK</x:v>
      </x:c>
    </x:row>
    <x:row r="13">
      <x:c r="A13" s="14" t="str">
        <x:v>Jenson Controls</x:v>
      </x:c>
      <x:c r="B13" s="16" t="n">
        <x:v>616000</x:v>
      </x:c>
      <x:c r="C13" s="18" t="n">
        <x:v>0.29</x:v>
      </x:c>
      <x:c r="D13" s="16" t="n">
        <x:v>97885</x:v>
      </x:c>
      <x:c r="E13" s="14" t="n">
        <x:v>58</x:v>
      </x:c>
      <x:c r="F13" s="16" t="n">
        <x:v>83746</x:v>
      </x:c>
      <x:c r="G13" s="16" t="n">
        <x:v>5373</x:v>
      </x:c>
      <x:c r="H13" s="16" t="n">
        <x:v>8766</x:v>
      </x:c>
      <x:c r="I13" s="14" t="str">
        <x:v>OK</x:v>
      </x:c>
    </x:row>
    <x:row r="14">
      <x:c r="A14" s="14" t="str">
        <x:v>Kinetic OEM</x:v>
      </x:c>
      <x:c r="B14" s="16" t="n">
        <x:v>548000</x:v>
      </x:c>
      <x:c r="C14" s="18" t="n">
        <x:v>0.33</x:v>
      </x:c>
      <x:c r="D14" s="16" t="n">
        <x:v>69063</x:v>
      </x:c>
      <x:c r="E14" s="14" t="n">
        <x:v>46</x:v>
      </x:c>
      <x:c r="F14" s="16" t="n">
        <x:v>68296</x:v>
      </x:c>
      <x:c r="G14" s="16" t="n">
        <x:v>291</x:v>
      </x:c>
      <x:c r="H14" s="16" t="n">
        <x:v>476</x:v>
      </x:c>
      <x:c r="I14" s="14" t="str">
        <x:v>OK</x:v>
      </x:c>
    </x:row>
    <x:row r="15">
      <x:c r="A15" s="14" t="str">
        <x:v>Lancaster Defence</x:v>
      </x:c>
      <x:c r="B15" s="16" t="n">
        <x:v>507000</x:v>
      </x:c>
      <x:c r="C15" s="18" t="n">
        <x:v>0.21</x:v>
      </x:c>
      <x:c r="D15" s="16" t="n">
        <x:v>116679</x:v>
      </x:c>
      <x:c r="E15" s="14" t="n">
        <x:v>84</x:v>
      </x:c>
      <x:c r="F15" s="16" t="n">
        <x:v>66118</x:v>
      </x:c>
      <x:c r="G15" s="16" t="n">
        <x:v>19213</x:v>
      </x:c>
      <x:c r="H15" s="16" t="n">
        <x:v>31348</x:v>
      </x:c>
      <x:c r="I15" s="14" t="str">
        <x:v>LOW MARGIN + OVERDUE</x:v>
      </x:c>
    </x:row>
    <x:row r="16">
      <x:c r="A16" s="14" t="str">
        <x:v>Metro Automation</x:v>
      </x:c>
      <x:c r="B16" s="16" t="n">
        <x:v>466000</x:v>
      </x:c>
      <x:c r="C16" s="18" t="n">
        <x:v>0.4</x:v>
      </x:c>
      <x:c r="D16" s="16" t="n">
        <x:v>44685</x:v>
      </x:c>
      <x:c r="E16" s="14" t="n">
        <x:v>35</x:v>
      </x:c>
      <x:c r="F16" s="16" t="n">
        <x:v>44685</x:v>
      </x:c>
      <x:c r="G16" s="16" t="n">
        <x:v>0</x:v>
      </x:c>
      <x:c r="H16" s="16" t="n">
        <x:v>0</x:v>
      </x:c>
      <x:c r="I16" s="14" t="str">
        <x:v>OK</x:v>
      </x:c>
    </x:row>
    <x:row r="17">
      <x:c r="A17" s="14" t="str">
        <x:v>Nexus Energy</x:v>
      </x:c>
      <x:c r="B17" s="16" t="n">
        <x:v>438000</x:v>
      </x:c>
      <x:c r="C17" s="18" t="n">
        <x:v>0.37</x:v>
      </x:c>
      <x:c r="D17" s="16" t="n">
        <x:v>48000</x:v>
      </x:c>
      <x:c r="E17" s="14" t="n">
        <x:v>40</x:v>
      </x:c>
      <x:c r="F17" s="16" t="n">
        <x:v>48000</x:v>
      </x:c>
      <x:c r="G17" s="16" t="n">
        <x:v>0</x:v>
      </x:c>
      <x:c r="H17" s="16" t="n">
        <x:v>0</x:v>
      </x:c>
      <x:c r="I17" s="14" t="str">
        <x:v>OK</x:v>
      </x:c>
    </x:row>
    <x:row r="18">
      <x:c r="A18" s="14" t="str">
        <x:v>Oakwell Pumps</x:v>
      </x:c>
      <x:c r="B18" s="16" t="n">
        <x:v>411000</x:v>
      </x:c>
      <x:c r="C18" s="18" t="n">
        <x:v>0.25</x:v>
      </x:c>
      <x:c r="D18" s="16" t="n">
        <x:v>81074</x:v>
      </x:c>
      <x:c r="E18" s="14" t="n">
        <x:v>72</x:v>
      </x:c>
      <x:c r="F18" s="16" t="n">
        <x:v>56752</x:v>
      </x:c>
      <x:c r="G18" s="16" t="n">
        <x:v>9242</x:v>
      </x:c>
      <x:c r="H18" s="16" t="n">
        <x:v>15080</x:v>
      </x:c>
      <x:c r="I18" s="14" t="str">
        <x:v>OVERDUE</x:v>
      </x:c>
    </x:row>
    <x:row r="19">
      <x:c r="A19" s="14" t="str">
        <x:v>Prime Medical</x:v>
      </x:c>
      <x:c r="B19" s="16" t="n">
        <x:v>370000</x:v>
      </x:c>
      <x:c r="C19" s="18" t="n">
        <x:v>0.44</x:v>
      </x:c>
      <x:c r="D19" s="16" t="n">
        <x:v>29397</x:v>
      </x:c>
      <x:c r="E19" s="14" t="n">
        <x:v>29</x:v>
      </x:c>
      <x:c r="F19" s="16" t="n">
        <x:v>29397</x:v>
      </x:c>
      <x:c r="G19" s="16" t="n">
        <x:v>0</x:v>
      </x:c>
      <x:c r="H19" s="16" t="n">
        <x:v>0</x:v>
      </x:c>
      <x:c r="I19" s="14" t="str">
        <x:v>OK</x:v>
      </x:c>
    </x:row>
    <x:row r="20">
      <x:c r="A20" s="14" t="str">
        <x:v>Quarry Equipment</x:v>
      </x:c>
      <x:c r="B20" s="16" t="n">
        <x:v>342000</x:v>
      </x:c>
      <x:c r="C20" s="18" t="n">
        <x:v>0.28</x:v>
      </x:c>
      <x:c r="D20" s="16" t="n">
        <x:v>51534</x:v>
      </x:c>
      <x:c r="E20" s="14" t="n">
        <x:v>55</x:v>
      </x:c>
      <x:c r="F20" s="16" t="n">
        <x:v>45808</x:v>
      </x:c>
      <x:c r="G20" s="16" t="n">
        <x:v>2176</x:v>
      </x:c>
      <x:c r="H20" s="16" t="n">
        <x:v>3550</x:v>
      </x:c>
      <x:c r="I20" s="14" t="str">
        <x:v>OK</x:v>
      </x:c>
    </x:row>
    <x:row r="21">
      <x:c r="A21" s="14" t="str">
        <x:v>Riverside Agri</x:v>
      </x:c>
      <x:c r="B21" s="16" t="n">
        <x:v>315000</x:v>
      </x:c>
      <x:c r="C21" s="18" t="n">
        <x:v>0.22</x:v>
      </x:c>
      <x:c r="D21" s="16" t="n">
        <x:v>78534</x:v>
      </x:c>
      <x:c r="E21" s="14" t="n">
        <x:v>91</x:v>
      </x:c>
      <x:c r="F21" s="16" t="n">
        <x:v>38394</x:v>
      </x:c>
      <x:c r="G21" s="16" t="n">
        <x:v>15253</x:v>
      </x:c>
      <x:c r="H21" s="16" t="n">
        <x:v>24887</x:v>
      </x:c>
      <x:c r="I21" s="14" t="str">
        <x:v>LOW MARGIN + OVERDUE</x:v>
      </x:c>
    </x:row>
    <x:row r="22">
      <x:c r="A22" s="14" t="str">
        <x:v>Summit Handling</x:v>
      </x:c>
      <x:c r="B22" s="16" t="n">
        <x:v>288000</x:v>
      </x:c>
      <x:c r="C22" s="18" t="n">
        <x:v>0.34</x:v>
      </x:c>
      <x:c r="D22" s="16" t="n">
        <x:v>33929</x:v>
      </x:c>
      <x:c r="E22" s="14" t="n">
        <x:v>43</x:v>
      </x:c>
      <x:c r="F22" s="16" t="n">
        <x:v>33929</x:v>
      </x:c>
      <x:c r="G22" s="16" t="n">
        <x:v>0</x:v>
      </x:c>
      <x:c r="H22" s="16" t="n">
        <x:v>0</x:v>
      </x:c>
      <x:c r="I22" s="14" t="str">
        <x:v>OK</x:v>
      </x:c>
    </x:row>
    <x:row r="23">
      <x:c r="A23" s="14" t="str">
        <x:v>Trident Components</x:v>
      </x:c>
      <x:c r="B23" s="16" t="n">
        <x:v>260000</x:v>
      </x:c>
      <x:c r="C23" s="18" t="n">
        <x:v>0.3</x:v>
      </x:c>
      <x:c r="D23" s="16" t="n">
        <x:v>36329</x:v>
      </x:c>
      <x:c r="E23" s="14" t="n">
        <x:v>51</x:v>
      </x:c>
      <x:c r="F23" s="16" t="n">
        <x:v>33907</x:v>
      </x:c>
      <x:c r="G23" s="16" t="n">
        <x:v>920</x:v>
      </x:c>
      <x:c r="H23" s="16" t="n">
        <x:v>1502</x:v>
      </x:c>
      <x:c r="I23" s="14" t="str">
        <x:v>OK</x:v>
      </x:c>
    </x:row>
    <x:row r="24">
      <x:c r="A24" s="14" t="str">
        <x:v>Unity Interiors</x:v>
      </x:c>
      <x:c r="B24" s="16" t="n">
        <x:v>233000</x:v>
      </x:c>
      <x:c r="C24" s="18" t="n">
        <x:v>0.18</x:v>
      </x:c>
      <x:c r="D24" s="16" t="n">
        <x:v>67027</x:v>
      </x:c>
      <x:c r="E24" s="14" t="n">
        <x:v>105</x:v>
      </x:c>
      <x:c r="F24" s="16" t="n">
        <x:v>22342</x:v>
      </x:c>
      <x:c r="G24" s="16" t="n">
        <x:v>16980</x:v>
      </x:c>
      <x:c r="H24" s="16" t="n">
        <x:v>27705</x:v>
      </x:c>
      <x:c r="I24" s="14" t="str">
        <x:v>LOW MARGIN + OVERDUE</x:v>
      </x:c>
    </x:row>
    <x:row r="25">
      <x:c r="A25" s="14" t="str">
        <x:v>Vantage Utilities</x:v>
      </x:c>
      <x:c r="B25" s="16" t="n">
        <x:v>205000</x:v>
      </x:c>
      <x:c r="C25" s="18" t="n">
        <x:v>0.39</x:v>
      </x:c>
      <x:c r="D25" s="16" t="n">
        <x:v>19096</x:v>
      </x:c>
      <x:c r="E25" s="14" t="n">
        <x:v>34</x:v>
      </x:c>
      <x:c r="F25" s="16" t="n">
        <x:v>19096</x:v>
      </x:c>
      <x:c r="G25" s="16" t="n">
        <x:v>0</x:v>
      </x:c>
      <x:c r="H25" s="16" t="n">
        <x:v>0</x:v>
      </x:c>
      <x:c r="I25" s="14" t="str">
        <x:v>OK</x:v>
      </x:c>
    </x:row>
    <x:row r="26">
      <x:c r="A26" s="14" t="str">
        <x:v>Westmoor Tech</x:v>
      </x:c>
      <x:c r="B26" s="16" t="n">
        <x:v>178000</x:v>
      </x:c>
      <x:c r="C26" s="18" t="n">
        <x:v>0.32</x:v>
      </x:c>
      <x:c r="D26" s="16" t="n">
        <x:v>22921</x:v>
      </x:c>
      <x:c r="E26" s="14" t="n">
        <x:v>47</x:v>
      </x:c>
      <x:c r="F26" s="16" t="n">
        <x:v>22412</x:v>
      </x:c>
      <x:c r="G26" s="16" t="n">
        <x:v>193</x:v>
      </x:c>
      <x:c r="H26" s="16" t="n">
        <x:v>316</x:v>
      </x:c>
      <x:c r="I26" s="14" t="str">
        <x:v>OK</x:v>
      </x:c>
    </x:row>
    <x:row r="27">
      <x:c r="A27" s="14" t="str">
        <x:v>Xcel Fabrication</x:v>
      </x:c>
      <x:c r="B27" s="16" t="n">
        <x:v>151000</x:v>
      </x:c>
      <x:c r="C27" s="18" t="n">
        <x:v>0.24</x:v>
      </x:c>
      <x:c r="D27" s="16" t="n">
        <x:v>28545</x:v>
      </x:c>
      <x:c r="E27" s="14" t="n">
        <x:v>69</x:v>
      </x:c>
      <x:c r="F27" s="16" t="n">
        <x:v>20933</x:v>
      </x:c>
      <x:c r="G27" s="16" t="n">
        <x:v>2893</x:v>
      </x:c>
      <x:c r="H27" s="16" t="n">
        <x:v>4719</x:v>
      </x:c>
      <x:c r="I27" s="14" t="str">
        <x:v>LOW MARGIN + OVERDUE</x:v>
      </x:c>
    </x:row>
    <x:row r="28">
      <x:c r="A28" s="14" t="str">
        <x:v>York Process</x:v>
      </x:c>
      <x:c r="B28" s="16" t="n">
        <x:v>123000</x:v>
      </x:c>
      <x:c r="C28" s="18" t="n">
        <x:v>0.41</x:v>
      </x:c>
      <x:c r="D28" s="16" t="n">
        <x:v>10784</x:v>
      </x:c>
      <x:c r="E28" s="14" t="n">
        <x:v>32</x:v>
      </x:c>
      <x:c r="F28" s="16" t="n">
        <x:v>10784</x:v>
      </x:c>
      <x:c r="G28" s="16" t="n">
        <x:v>0</x:v>
      </x:c>
      <x:c r="H28" s="16" t="n">
        <x:v>0</x:v>
      </x:c>
      <x:c r="I28" s="14" t="str">
        <x:v>OK</x:v>
      </x:c>
    </x:row>
    <x:row r="29">
      <x:c r="A29" s="14" t="str">
        <x:v>Zenith OEM</x:v>
      </x:c>
      <x:c r="B29" s="16" t="n">
        <x:v>97000</x:v>
      </x:c>
      <x:c r="C29" s="18" t="n">
        <x:v>0.26</x:v>
      </x:c>
      <x:c r="D29" s="16" t="n">
        <x:v>20197</x:v>
      </x:c>
      <x:c r="E29" s="14" t="n">
        <x:v>76</x:v>
      </x:c>
      <x:c r="F29" s="16" t="n">
        <x:v>13240</x:v>
      </x:c>
      <x:c r="G29" s="16" t="n">
        <x:v>2644</x:v>
      </x:c>
      <x:c r="H29" s="16" t="n">
        <x:v>4313</x:v>
      </x:c>
      <x:c r="I29" s="14" t="str">
        <x:v>OVERDUE</x:v>
      </x:c>
    </x:row>
    <x:row r="31">
      <x:c r="A31" s="22" t="str">
        <x:v>CUSTOMER LEDGER TOTAL</x:v>
      </x:c>
      <x:c r="B31" s="26" t="n">
        <x:f>SUM(B4:B29)</x:f>
        <x:v>15000000</x:v>
      </x:c>
      <x:c r="C31" s="28" t="n">
        <x:f>SUMPRODUCT(B4:B29,C4:C29)/B31</x:f>
        <x:v>0.29790266666666665</x:v>
      </x:c>
      <x:c r="D31" s="26" t="n">
        <x:f>SUM(D4:D29)</x:f>
        <x:v>2467194</x:v>
      </x:c>
      <x:c r="E31" s="23" t="n">
        <x:f>D31/B31*365</x:f>
        <x:v>60.035054</x:v>
      </x:c>
      <x:c r="F31" s="26" t="n">
        <x:f>SUM(F4:F29)</x:f>
        <x:v>1750164</x:v>
      </x:c>
      <x:c r="G31" s="26" t="n">
        <x:f>SUM(G4:G29)</x:f>
        <x:v>272471</x:v>
      </x:c>
      <x:c r="H31" s="26" t="n">
        <x:f>SUM(H4:H29)</x:f>
        <x:v>444559</x:v>
      </x:c>
      <x:c r="I31" s="22" t="str"/>
    </x:row>
  </x:sheetData>
  <x:mergeCells>
    <x:mergeCell ref="A1:I1"/>
  </x:mergeCells>
  <x:conditionalFormatting sqref="I4:I29">
    <x:cfRule type="expression" dxfId="0" priority="1">
      <x:formula>I4&lt;&gt;"OK"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.5" hidden="0" customWidth="1"/>
    <x:col min="3" max="3" width="11.5" hidden="0" customWidth="1"/>
    <x:col min="4" max="4" width="8.75" hidden="0" customWidth="1"/>
    <x:col min="5" max="5" width="7.630000114440918" hidden="0" customWidth="1"/>
    <x:col min="6" max="6" width="6.130000114440918" hidden="0" customWidth="1"/>
    <x:col min="7" max="7" width="11" hidden="0" customWidth="1"/>
  </x:cols>
  <x:sheetData>
    <x:row r="1" ht="28" customHeight="1">
      <x:c r="A1" s="3" t="str">
        <x:v>Accounts Payable Supplier Ledger – Intentionally Contains Control Issues</x:v>
      </x:c>
    </x:row>
    <x:row r="3">
      <x:c r="A3" s="9" t="str">
        <x:v>Supplier</x:v>
      </x:c>
      <x:c r="B3" s="9" t="str">
        <x:v>Annual Purchases (£)</x:v>
      </x:c>
      <x:c r="C3" s="9" t="str">
        <x:v>AP Balance (£)</x:v>
      </x:c>
      <x:c r="D3" s="9" t="str">
        <x:v>Current (£)</x:v>
      </x:c>
      <x:c r="E3" s="9" t="str">
        <x:v>31–60 (£)</x:v>
      </x:c>
      <x:c r="F3" s="9" t="str">
        <x:v>61+ (£)</x:v>
      </x:c>
      <x:c r="G3" s="9" t="str">
        <x:v>Flag</x:v>
      </x:c>
    </x:row>
    <x:row r="4">
      <x:c r="A4" s="14" t="str">
        <x:v>SteelCo</x:v>
      </x:c>
      <x:c r="B4" s="16" t="n">
        <x:v>2200000</x:v>
      </x:c>
      <x:c r="C4" s="16" t="n">
        <x:v>430000</x:v>
      </x:c>
      <x:c r="D4" s="16" t="n">
        <x:v>141900</x:v>
      </x:c>
      <x:c r="E4" s="16" t="n">
        <x:v>137600</x:v>
      </x:c>
      <x:c r="F4" s="16" t="n">
        <x:v>150500</x:v>
      </x:c>
      <x:c r="G4" s="14" t="str">
        <x:v>OLD BALANCE</x:v>
      </x:c>
    </x:row>
    <x:row r="5">
      <x:c r="A5" s="14" t="str">
        <x:v>Alloy Metals</x:v>
      </x:c>
      <x:c r="B5" s="16" t="n">
        <x:v>1350000</x:v>
      </x:c>
      <x:c r="C5" s="16" t="n">
        <x:v>250000</x:v>
      </x:c>
      <x:c r="D5" s="16" t="n">
        <x:v>175000</x:v>
      </x:c>
      <x:c r="E5" s="16" t="n">
        <x:v>50000</x:v>
      </x:c>
      <x:c r="F5" s="16" t="n">
        <x:v>25000</x:v>
      </x:c>
      <x:c r="G5" s="14" t="str">
        <x:v>OK</x:v>
      </x:c>
    </x:row>
    <x:row r="6">
      <x:c r="A6" s="14" t="str">
        <x:v>Precision Bearings</x:v>
      </x:c>
      <x:c r="B6" s="16" t="n">
        <x:v>720000</x:v>
      </x:c>
      <x:c r="C6" s="16" t="n">
        <x:v>118000</x:v>
      </x:c>
      <x:c r="D6" s="16" t="n">
        <x:v>82600</x:v>
      </x:c>
      <x:c r="E6" s="16" t="n">
        <x:v>23600</x:v>
      </x:c>
      <x:c r="F6" s="16" t="n">
        <x:v>11800</x:v>
      </x:c>
      <x:c r="G6" s="14" t="str">
        <x:v>OK</x:v>
      </x:c>
    </x:row>
    <x:row r="7">
      <x:c r="A7" s="14" t="str">
        <x:v>Polymer UK</x:v>
      </x:c>
      <x:c r="B7" s="16" t="n">
        <x:v>640000</x:v>
      </x:c>
      <x:c r="C7" s="16" t="n">
        <x:v>105000</x:v>
      </x:c>
      <x:c r="D7" s="16" t="n">
        <x:v>60900</x:v>
      </x:c>
      <x:c r="E7" s="16" t="n">
        <x:v>33600</x:v>
      </x:c>
      <x:c r="F7" s="16" t="n">
        <x:v>10500</x:v>
      </x:c>
      <x:c r="G7" s="14" t="str">
        <x:v>OK</x:v>
      </x:c>
    </x:row>
    <x:row r="8">
      <x:c r="A8" s="14" t="str">
        <x:v>Industrial Gas</x:v>
      </x:c>
      <x:c r="B8" s="16" t="n">
        <x:v>430000</x:v>
      </x:c>
      <x:c r="C8" s="16" t="n">
        <x:v>87000</x:v>
      </x:c>
      <x:c r="D8" s="16" t="n">
        <x:v>39150</x:v>
      </x:c>
      <x:c r="E8" s="16" t="n">
        <x:v>17400</x:v>
      </x:c>
      <x:c r="F8" s="16" t="n">
        <x:v>30450</x:v>
      </x:c>
      <x:c r="G8" s="14" t="str">
        <x:v>OLD BALANCE</x:v>
      </x:c>
    </x:row>
    <x:row r="9">
      <x:c r="A9" s="14" t="str">
        <x:v>Freightline</x:v>
      </x:c>
      <x:c r="B9" s="16" t="n">
        <x:v>580000</x:v>
      </x:c>
      <x:c r="C9" s="16" t="n">
        <x:v>142000</x:v>
      </x:c>
      <x:c r="D9" s="16" t="n">
        <x:v>99400</x:v>
      </x:c>
      <x:c r="E9" s="16" t="n">
        <x:v>28400</x:v>
      </x:c>
      <x:c r="F9" s="16" t="n">
        <x:v>14200</x:v>
      </x:c>
      <x:c r="G9" s="14" t="str">
        <x:v>OK</x:v>
      </x:c>
    </x:row>
    <x:row r="10">
      <x:c r="A10" s="14" t="str">
        <x:v>Tooling Direct</x:v>
      </x:c>
      <x:c r="B10" s="16" t="n">
        <x:v>390000</x:v>
      </x:c>
      <x:c r="C10" s="16" t="n">
        <x:v>61000</x:v>
      </x:c>
      <x:c r="D10" s="16" t="n">
        <x:v>35380</x:v>
      </x:c>
      <x:c r="E10" s="16" t="n">
        <x:v>19520</x:v>
      </x:c>
      <x:c r="F10" s="16" t="n">
        <x:v>6100</x:v>
      </x:c>
      <x:c r="G10" s="14" t="str">
        <x:v>OK</x:v>
      </x:c>
    </x:row>
    <x:row r="11">
      <x:c r="A11" s="14" t="str">
        <x:v>Electro Components</x:v>
      </x:c>
      <x:c r="B11" s="16" t="n">
        <x:v>760000</x:v>
      </x:c>
      <x:c r="C11" s="16" t="n">
        <x:v>151000</x:v>
      </x:c>
      <x:c r="D11" s="16" t="n">
        <x:v>105700</x:v>
      </x:c>
      <x:c r="E11" s="16" t="n">
        <x:v>30200</x:v>
      </x:c>
      <x:c r="F11" s="16" t="n">
        <x:v>15100</x:v>
      </x:c>
      <x:c r="G11" s="14" t="str">
        <x:v>OK</x:v>
      </x:c>
    </x:row>
    <x:row r="12">
      <x:c r="A12" s="14" t="str">
        <x:v>Packaging Plus</x:v>
      </x:c>
      <x:c r="B12" s="16" t="n">
        <x:v>330000</x:v>
      </x:c>
      <x:c r="C12" s="16" t="n">
        <x:v>57000</x:v>
      </x:c>
      <x:c r="D12" s="16" t="n">
        <x:v>25650</x:v>
      </x:c>
      <x:c r="E12" s="16" t="n">
        <x:v>11400</x:v>
      </x:c>
      <x:c r="F12" s="16" t="n">
        <x:v>19950</x:v>
      </x:c>
      <x:c r="G12" s="14" t="str">
        <x:v>OLD BALANCE</x:v>
      </x:c>
    </x:row>
    <x:row r="13">
      <x:c r="A13" s="14" t="str">
        <x:v>Coatings Ltd</x:v>
      </x:c>
      <x:c r="B13" s="16" t="n">
        <x:v>410000</x:v>
      </x:c>
      <x:c r="C13" s="16" t="n">
        <x:v>84000</x:v>
      </x:c>
      <x:c r="D13" s="16" t="n">
        <x:v>48720</x:v>
      </x:c>
      <x:c r="E13" s="16" t="n">
        <x:v>26880</x:v>
      </x:c>
      <x:c r="F13" s="16" t="n">
        <x:v>8400</x:v>
      </x:c>
      <x:c r="G13" s="14" t="str">
        <x:v>OK</x:v>
      </x:c>
    </x:row>
    <x:row r="14">
      <x:c r="A14" s="14" t="str">
        <x:v>Machine Services</x:v>
      </x:c>
      <x:c r="B14" s="16" t="n">
        <x:v>520000</x:v>
      </x:c>
      <x:c r="C14" s="16" t="n">
        <x:v>127000</x:v>
      </x:c>
      <x:c r="D14" s="16" t="n">
        <x:v>88900</x:v>
      </x:c>
      <x:c r="E14" s="16" t="n">
        <x:v>25400</x:v>
      </x:c>
      <x:c r="F14" s="16" t="n">
        <x:v>12700</x:v>
      </x:c>
      <x:c r="G14" s="14" t="str">
        <x:v>OK</x:v>
      </x:c>
    </x:row>
    <x:row r="15">
      <x:c r="A15" s="14" t="str">
        <x:v>Facilities Group</x:v>
      </x:c>
      <x:c r="B15" s="16" t="n">
        <x:v>290000</x:v>
      </x:c>
      <x:c r="C15" s="16" t="n">
        <x:v>48000</x:v>
      </x:c>
      <x:c r="D15" s="16" t="n">
        <x:v>33600</x:v>
      </x:c>
      <x:c r="E15" s="16" t="n">
        <x:v>9600</x:v>
      </x:c>
      <x:c r="F15" s="16" t="n">
        <x:v>4800</x:v>
      </x:c>
      <x:c r="G15" s="14" t="str">
        <x:v>OK</x:v>
      </x:c>
    </x:row>
    <x:row r="16">
      <x:c r="A16" s="14" t="str">
        <x:v>IT Systems</x:v>
      </x:c>
      <x:c r="B16" s="16" t="n">
        <x:v>180000</x:v>
      </x:c>
      <x:c r="C16" s="16" t="n">
        <x:v>39000</x:v>
      </x:c>
      <x:c r="D16" s="16" t="n">
        <x:v>12870</x:v>
      </x:c>
      <x:c r="E16" s="16" t="n">
        <x:v>12480</x:v>
      </x:c>
      <x:c r="F16" s="16" t="n">
        <x:v>13650</x:v>
      </x:c>
      <x:c r="G16" s="14" t="str">
        <x:v>OLD BALANCE</x:v>
      </x:c>
    </x:row>
    <x:row r="17">
      <x:c r="A17" s="14" t="str">
        <x:v>Temp Labour Co</x:v>
      </x:c>
      <x:c r="B17" s="16" t="n">
        <x:v>460000</x:v>
      </x:c>
      <x:c r="C17" s="16" t="n">
        <x:v>116000</x:v>
      </x:c>
      <x:c r="D17" s="16" t="n">
        <x:v>81200</x:v>
      </x:c>
      <x:c r="E17" s="16" t="n">
        <x:v>23200</x:v>
      </x:c>
      <x:c r="F17" s="16" t="n">
        <x:v>11600</x:v>
      </x:c>
      <x:c r="G17" s="14" t="str">
        <x:v>OK</x:v>
      </x:c>
    </x:row>
    <x:row r="18">
      <x:c r="A18" s="14" t="str">
        <x:v>Other Suppliers</x:v>
      </x:c>
      <x:c r="B18" s="16" t="n">
        <x:v>610000</x:v>
      </x:c>
      <x:c r="C18" s="16" t="n">
        <x:v>174000</x:v>
      </x:c>
      <x:c r="D18" s="16" t="n">
        <x:v>121800</x:v>
      </x:c>
      <x:c r="E18" s="16" t="n">
        <x:v>34800</x:v>
      </x:c>
      <x:c r="F18" s="16" t="n">
        <x:v>17400</x:v>
      </x:c>
      <x:c r="G18" s="14" t="str">
        <x:v>OK</x:v>
      </x:c>
    </x:row>
    <x:row r="20">
      <x:c r="A20" s="22" t="str">
        <x:v>SUPPLIER LEDGER TOTAL</x:v>
      </x:c>
      <x:c r="B20" s="23" t="n">
        <x:f>SUM(B4:B18)</x:f>
        <x:v>9870000</x:v>
      </x:c>
      <x:c r="C20" s="23" t="n">
        <x:f>SUM(C4:C18)</x:f>
        <x:v>1989000</x:v>
      </x:c>
      <x:c r="D20" s="23" t="n">
        <x:f>SUM(D4:D18)</x:f>
        <x:v>1152770</x:v>
      </x:c>
      <x:c r="E20" s="23" t="n">
        <x:f>SUM(E4:E18)</x:f>
        <x:v>484080</x:v>
      </x:c>
      <x:c r="F20" s="23" t="n">
        <x:f>SUM(F4:F18)</x:f>
        <x:v>352150</x:v>
      </x:c>
      <x:c r="G20" s="22" t="str"/>
    </x:row>
  </x:sheetData>
  <x:mergeCells>
    <x:mergeCell ref="A1:G1"/>
  </x:mergeCells>
  <x:conditionalFormatting sqref="G4:G18">
    <x:cfRule type="expression" dxfId="1" priority="1">
      <x:formula>G4&lt;&gt;"OK"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.25" hidden="0" customWidth="1"/>
    <x:col min="2" max="2" width="22" hidden="0" customWidth="1"/>
    <x:col min="3" max="3" width="10.130000114440918" hidden="0" customWidth="1"/>
    <x:col min="4" max="4" width="3.25" hidden="0" customWidth="1"/>
    <x:col min="5" max="5" width="11.75" hidden="0" customWidth="1"/>
    <x:col min="6" max="6" width="11.5" hidden="0" customWidth="1"/>
    <x:col min="7" max="7" width="16.8799991607666" hidden="0" customWidth="1"/>
    <x:col min="8" max="8" width="9" hidden="0" customWidth="1"/>
    <x:col min="9" max="9" width="10.5" hidden="0" customWidth="1"/>
    <x:col min="10" max="10" width="12.630000114440918" hidden="0" customWidth="1"/>
  </x:cols>
  <x:sheetData>
    <x:row r="1" ht="28" customHeight="1">
      <x:c r="A1" s="3" t="str">
        <x:v>Staff Cost Overview – Scenario 2</x:v>
      </x:c>
    </x:row>
    <x:row r="3">
      <x:c r="A3" s="9" t="str">
        <x:v>Employee</x:v>
      </x:c>
      <x:c r="B3" s="9" t="str">
        <x:v>Role</x:v>
      </x:c>
      <x:c r="C3" s="9" t="str">
        <x:v>Department</x:v>
      </x:c>
      <x:c r="D3" s="9" t="str">
        <x:v>FTE</x:v>
      </x:c>
      <x:c r="E3" s="9" t="str">
        <x:v>Base Salary (£)</x:v>
      </x:c>
      <x:c r="F3" s="9" t="str">
        <x:v>Bonus / OT (£)</x:v>
      </x:c>
      <x:c r="G3" s="9" t="str">
        <x:v>Employer NI (£)</x:v>
      </x:c>
      <x:c r="H3" s="9" t="str">
        <x:v>Pension (£)</x:v>
      </x:c>
      <x:c r="I3" s="9" t="str">
        <x:v>Total Cost (£)</x:v>
      </x:c>
      <x:c r="J3" s="9" t="str">
        <x:v>Direct / Indirect</x:v>
      </x:c>
    </x:row>
    <x:row r="4">
      <x:c r="A4" s="14" t="str">
        <x:v>Employee 01</x:v>
      </x:c>
      <x:c r="B4" s="14" t="str">
        <x:v>CEO</x:v>
      </x:c>
      <x:c r="C4" s="14" t="str">
        <x:v>Leadership</x:v>
      </x:c>
      <x:c r="D4" s="14" t="n">
        <x:v>1</x:v>
      </x:c>
      <x:c r="E4" s="16" t="n">
        <x:v>150000</x:v>
      </x:c>
      <x:c r="F4" s="16" t="n">
        <x:v>22000</x:v>
      </x:c>
      <x:c r="G4" s="30" t="n">
        <x:f>(E4+F4)*Assumptions!$B$11</x:f>
        <x:v>23736.000000000004</x:v>
      </x:c>
      <x:c r="H4" s="30" t="n">
        <x:f>E4*Assumptions!$B$12</x:f>
        <x:v>7500</x:v>
      </x:c>
      <x:c r="I4" s="30" t="n">
        <x:f>SUM(E4:H4)</x:f>
        <x:v>203236</x:v>
      </x:c>
      <x:c r="J4" s="14" t="str">
        <x:v>Indirect</x:v>
      </x:c>
    </x:row>
    <x:row r="5">
      <x:c r="A5" s="14" t="str">
        <x:v>Employee 02</x:v>
      </x:c>
      <x:c r="B5" s="14" t="str">
        <x:v>Finance Director</x:v>
      </x:c>
      <x:c r="C5" s="14" t="str">
        <x:v>Finance</x:v>
      </x:c>
      <x:c r="D5" s="14" t="n">
        <x:v>1</x:v>
      </x:c>
      <x:c r="E5" s="16" t="n">
        <x:v>115000</x:v>
      </x:c>
      <x:c r="F5" s="16" t="n">
        <x:v>13000</x:v>
      </x:c>
      <x:c r="G5" s="30" t="n">
        <x:f>(E5+F5)*Assumptions!$B$11</x:f>
        <x:v>17664</x:v>
      </x:c>
      <x:c r="H5" s="30" t="n">
        <x:f>E5*Assumptions!$B$12</x:f>
        <x:v>5750</x:v>
      </x:c>
      <x:c r="I5" s="30" t="n">
        <x:f>SUM(E5:H5)</x:f>
        <x:v>151414</x:v>
      </x:c>
      <x:c r="J5" s="14" t="str">
        <x:v>Indirect</x:v>
      </x:c>
    </x:row>
    <x:row r="6">
      <x:c r="A6" s="14" t="str">
        <x:v>Employee 03</x:v>
      </x:c>
      <x:c r="B6" s="14" t="str">
        <x:v>Commercial Director</x:v>
      </x:c>
      <x:c r="C6" s="14" t="str">
        <x:v>Sales</x:v>
      </x:c>
      <x:c r="D6" s="14" t="n">
        <x:v>1</x:v>
      </x:c>
      <x:c r="E6" s="16" t="n">
        <x:v>108000</x:v>
      </x:c>
      <x:c r="F6" s="16" t="n">
        <x:v>18000</x:v>
      </x:c>
      <x:c r="G6" s="30" t="n">
        <x:f>(E6+F6)*Assumptions!$B$11</x:f>
        <x:v>17388</x:v>
      </x:c>
      <x:c r="H6" s="30" t="n">
        <x:f>E6*Assumptions!$B$12</x:f>
        <x:v>5400</x:v>
      </x:c>
      <x:c r="I6" s="30" t="n">
        <x:f>SUM(E6:H6)</x:f>
        <x:v>148788</x:v>
      </x:c>
      <x:c r="J6" s="14" t="str">
        <x:v>Indirect</x:v>
      </x:c>
    </x:row>
    <x:row r="7">
      <x:c r="A7" s="14" t="str">
        <x:v>Employee 04</x:v>
      </x:c>
      <x:c r="B7" s="14" t="str">
        <x:v>Operations Director</x:v>
      </x:c>
      <x:c r="C7" s="14" t="str">
        <x:v>Operations</x:v>
      </x:c>
      <x:c r="D7" s="14" t="n">
        <x:v>1</x:v>
      </x:c>
      <x:c r="E7" s="16" t="n">
        <x:v>112000</x:v>
      </x:c>
      <x:c r="F7" s="16" t="n">
        <x:v>14000</x:v>
      </x:c>
      <x:c r="G7" s="30" t="n">
        <x:f>(E7+F7)*Assumptions!$B$11</x:f>
        <x:v>17388</x:v>
      </x:c>
      <x:c r="H7" s="30" t="n">
        <x:f>E7*Assumptions!$B$12</x:f>
        <x:v>5600</x:v>
      </x:c>
      <x:c r="I7" s="30" t="n">
        <x:f>SUM(E7:H7)</x:f>
        <x:v>148988</x:v>
      </x:c>
      <x:c r="J7" s="14" t="str">
        <x:v>Indirect</x:v>
      </x:c>
    </x:row>
    <x:row r="8">
      <x:c r="A8" s="14" t="str">
        <x:v>Employee 05</x:v>
      </x:c>
      <x:c r="B8" s="14" t="str">
        <x:v>Plant Manager</x:v>
      </x:c>
      <x:c r="C8" s="14" t="str">
        <x:v>Operations</x:v>
      </x:c>
      <x:c r="D8" s="14" t="n">
        <x:v>1</x:v>
      </x:c>
      <x:c r="E8" s="16" t="n">
        <x:v>76000</x:v>
      </x:c>
      <x:c r="F8" s="16" t="n">
        <x:v>7000</x:v>
      </x:c>
      <x:c r="G8" s="30" t="n">
        <x:f>(E8+F8)*Assumptions!$B$11</x:f>
        <x:v>11454.000000000002</x:v>
      </x:c>
      <x:c r="H8" s="30" t="n">
        <x:f>E8*Assumptions!$B$12</x:f>
        <x:v>3800</x:v>
      </x:c>
      <x:c r="I8" s="30" t="n">
        <x:f>SUM(E8:H8)</x:f>
        <x:v>98254</x:v>
      </x:c>
      <x:c r="J8" s="14" t="str">
        <x:v>Indirect</x:v>
      </x:c>
    </x:row>
    <x:row r="9">
      <x:c r="A9" s="14" t="str">
        <x:v>Employee 06</x:v>
      </x:c>
      <x:c r="B9" s="14" t="str">
        <x:v>Financial Controller</x:v>
      </x:c>
      <x:c r="C9" s="14" t="str">
        <x:v>Finance</x:v>
      </x:c>
      <x:c r="D9" s="14" t="n">
        <x:v>1</x:v>
      </x:c>
      <x:c r="E9" s="16" t="n">
        <x:v>64000</x:v>
      </x:c>
      <x:c r="F9" s="16" t="n">
        <x:v>4000</x:v>
      </x:c>
      <x:c r="G9" s="30" t="n">
        <x:f>(E9+F9)*Assumptions!$B$11</x:f>
        <x:v>9384</x:v>
      </x:c>
      <x:c r="H9" s="30" t="n">
        <x:f>E9*Assumptions!$B$12</x:f>
        <x:v>3200</x:v>
      </x:c>
      <x:c r="I9" s="30" t="n">
        <x:f>SUM(E9:H9)</x:f>
        <x:v>80584</x:v>
      </x:c>
      <x:c r="J9" s="14" t="str">
        <x:v>Indirect</x:v>
      </x:c>
    </x:row>
    <x:row r="10">
      <x:c r="A10" s="14" t="str">
        <x:v>Employee 07</x:v>
      </x:c>
      <x:c r="B10" s="14" t="str">
        <x:v>Sales Manager</x:v>
      </x:c>
      <x:c r="C10" s="14" t="str">
        <x:v>Sales</x:v>
      </x:c>
      <x:c r="D10" s="14" t="n">
        <x:v>1</x:v>
      </x:c>
      <x:c r="E10" s="16" t="n">
        <x:v>68000</x:v>
      </x:c>
      <x:c r="F10" s="16" t="n">
        <x:v>10000</x:v>
      </x:c>
      <x:c r="G10" s="30" t="n">
        <x:f>(E10+F10)*Assumptions!$B$11</x:f>
        <x:v>10764</x:v>
      </x:c>
      <x:c r="H10" s="30" t="n">
        <x:f>E10*Assumptions!$B$12</x:f>
        <x:v>3400</x:v>
      </x:c>
      <x:c r="I10" s="30" t="n">
        <x:f>SUM(E10:H10)</x:f>
        <x:v>92164</x:v>
      </x:c>
      <x:c r="J10" s="14" t="str">
        <x:v>Indirect</x:v>
      </x:c>
    </x:row>
    <x:row r="11">
      <x:c r="A11" s="14" t="str">
        <x:v>Employee 08</x:v>
      </x:c>
      <x:c r="B11" s="14" t="str">
        <x:v>Account Manager 1</x:v>
      </x:c>
      <x:c r="C11" s="14" t="str">
        <x:v>Sales</x:v>
      </x:c>
      <x:c r="D11" s="14" t="n">
        <x:v>1</x:v>
      </x:c>
      <x:c r="E11" s="16" t="n">
        <x:v>54000</x:v>
      </x:c>
      <x:c r="F11" s="16" t="n">
        <x:v>8500</x:v>
      </x:c>
      <x:c r="G11" s="30" t="n">
        <x:f>(E11+F11)*Assumptions!$B$11</x:f>
        <x:v>8625</x:v>
      </x:c>
      <x:c r="H11" s="30" t="n">
        <x:f>E11*Assumptions!$B$12</x:f>
        <x:v>2700</x:v>
      </x:c>
      <x:c r="I11" s="30" t="n">
        <x:f>SUM(E11:H11)</x:f>
        <x:v>73825</x:v>
      </x:c>
      <x:c r="J11" s="14" t="str">
        <x:v>Indirect</x:v>
      </x:c>
    </x:row>
    <x:row r="12">
      <x:c r="A12" s="14" t="str">
        <x:v>Employee 09</x:v>
      </x:c>
      <x:c r="B12" s="14" t="str">
        <x:v>Account Manager 2</x:v>
      </x:c>
      <x:c r="C12" s="14" t="str">
        <x:v>Sales</x:v>
      </x:c>
      <x:c r="D12" s="14" t="n">
        <x:v>1</x:v>
      </x:c>
      <x:c r="E12" s="16" t="n">
        <x:v>52000</x:v>
      </x:c>
      <x:c r="F12" s="16" t="n">
        <x:v>8000</x:v>
      </x:c>
      <x:c r="G12" s="30" t="n">
        <x:f>(E12+F12)*Assumptions!$B$11</x:f>
        <x:v>8280</x:v>
      </x:c>
      <x:c r="H12" s="30" t="n">
        <x:f>E12*Assumptions!$B$12</x:f>
        <x:v>2600</x:v>
      </x:c>
      <x:c r="I12" s="30" t="n">
        <x:f>SUM(E12:H12)</x:f>
        <x:v>70880</x:v>
      </x:c>
      <x:c r="J12" s="14" t="str">
        <x:v>Indirect</x:v>
      </x:c>
    </x:row>
    <x:row r="13">
      <x:c r="A13" s="14" t="str">
        <x:v>Employee 10</x:v>
      </x:c>
      <x:c r="B13" s="14" t="str">
        <x:v>Buyer</x:v>
      </x:c>
      <x:c r="C13" s="14" t="str">
        <x:v>Supply Chain</x:v>
      </x:c>
      <x:c r="D13" s="14" t="n">
        <x:v>1</x:v>
      </x:c>
      <x:c r="E13" s="16" t="n">
        <x:v>46000</x:v>
      </x:c>
      <x:c r="F13" s="16" t="n">
        <x:v>3500</x:v>
      </x:c>
      <x:c r="G13" s="30" t="n">
        <x:f>(E13+F13)*Assumptions!$B$11</x:f>
        <x:v>6831.000000000001</x:v>
      </x:c>
      <x:c r="H13" s="30" t="n">
        <x:f>E13*Assumptions!$B$12</x:f>
        <x:v>2300</x:v>
      </x:c>
      <x:c r="I13" s="30" t="n">
        <x:f>SUM(E13:H13)</x:f>
        <x:v>58631</x:v>
      </x:c>
      <x:c r="J13" s="14" t="str">
        <x:v>Indirect</x:v>
      </x:c>
    </x:row>
    <x:row r="14">
      <x:c r="A14" s="14" t="str">
        <x:v>Employee 11</x:v>
      </x:c>
      <x:c r="B14" s="14" t="str">
        <x:v>Quality Manager</x:v>
      </x:c>
      <x:c r="C14" s="14" t="str">
        <x:v>Quality</x:v>
      </x:c>
      <x:c r="D14" s="14" t="n">
        <x:v>1</x:v>
      </x:c>
      <x:c r="E14" s="16" t="n">
        <x:v>59000</x:v>
      </x:c>
      <x:c r="F14" s="16" t="n">
        <x:v>4500</x:v>
      </x:c>
      <x:c r="G14" s="30" t="n">
        <x:f>(E14+F14)*Assumptions!$B$11</x:f>
        <x:v>8763</x:v>
      </x:c>
      <x:c r="H14" s="30" t="n">
        <x:f>E14*Assumptions!$B$12</x:f>
        <x:v>2950</x:v>
      </x:c>
      <x:c r="I14" s="30" t="n">
        <x:f>SUM(E14:H14)</x:f>
        <x:v>75213</x:v>
      </x:c>
      <x:c r="J14" s="14" t="str">
        <x:v>Indirect</x:v>
      </x:c>
    </x:row>
    <x:row r="15">
      <x:c r="A15" s="14" t="str">
        <x:v>Employee 12</x:v>
      </x:c>
      <x:c r="B15" s="14" t="str">
        <x:v>Planner</x:v>
      </x:c>
      <x:c r="C15" s="14" t="str">
        <x:v>Operations</x:v>
      </x:c>
      <x:c r="D15" s="14" t="n">
        <x:v>1</x:v>
      </x:c>
      <x:c r="E15" s="16" t="n">
        <x:v>49000</x:v>
      </x:c>
      <x:c r="F15" s="16" t="n">
        <x:v>3500</x:v>
      </x:c>
      <x:c r="G15" s="30" t="n">
        <x:f>(E15+F15)*Assumptions!$B$11</x:f>
        <x:v>7245.000000000001</x:v>
      </x:c>
      <x:c r="H15" s="30" t="n">
        <x:f>E15*Assumptions!$B$12</x:f>
        <x:v>2450</x:v>
      </x:c>
      <x:c r="I15" s="30" t="n">
        <x:f>SUM(E15:H15)</x:f>
        <x:v>62195</x:v>
      </x:c>
      <x:c r="J15" s="14" t="str">
        <x:v>Indirect</x:v>
      </x:c>
    </x:row>
    <x:row r="16">
      <x:c r="A16" s="14" t="str">
        <x:v>Employee 13</x:v>
      </x:c>
      <x:c r="B16" s="14" t="str">
        <x:v>Design Engineer</x:v>
      </x:c>
      <x:c r="C16" s="14" t="str">
        <x:v>Engineering</x:v>
      </x:c>
      <x:c r="D16" s="14" t="n">
        <x:v>1</x:v>
      </x:c>
      <x:c r="E16" s="16" t="n">
        <x:v>58000</x:v>
      </x:c>
      <x:c r="F16" s="16" t="n">
        <x:v>5000</x:v>
      </x:c>
      <x:c r="G16" s="30" t="n">
        <x:f>(E16+F16)*Assumptions!$B$11</x:f>
        <x:v>8694</x:v>
      </x:c>
      <x:c r="H16" s="30" t="n">
        <x:f>E16*Assumptions!$B$12</x:f>
        <x:v>2900</x:v>
      </x:c>
      <x:c r="I16" s="30" t="n">
        <x:f>SUM(E16:H16)</x:f>
        <x:v>74594</x:v>
      </x:c>
      <x:c r="J16" s="14" t="str">
        <x:v>Direct</x:v>
      </x:c>
    </x:row>
    <x:row r="17">
      <x:c r="A17" s="14" t="str">
        <x:v>Employee 14</x:v>
      </x:c>
      <x:c r="B17" s="14" t="str">
        <x:v>Maintenance Engineer</x:v>
      </x:c>
      <x:c r="C17" s="14" t="str">
        <x:v>Engineering</x:v>
      </x:c>
      <x:c r="D17" s="14" t="n">
        <x:v>1</x:v>
      </x:c>
      <x:c r="E17" s="16" t="n">
        <x:v>52000</x:v>
      </x:c>
      <x:c r="F17" s="16" t="n">
        <x:v>8000</x:v>
      </x:c>
      <x:c r="G17" s="30" t="n">
        <x:f>(E17+F17)*Assumptions!$B$11</x:f>
        <x:v>8280</x:v>
      </x:c>
      <x:c r="H17" s="30" t="n">
        <x:f>E17*Assumptions!$B$12</x:f>
        <x:v>2600</x:v>
      </x:c>
      <x:c r="I17" s="30" t="n">
        <x:f>SUM(E17:H17)</x:f>
        <x:v>70880</x:v>
      </x:c>
      <x:c r="J17" s="14" t="str">
        <x:v>Direct</x:v>
      </x:c>
    </x:row>
    <x:row r="18">
      <x:c r="A18" s="14" t="str">
        <x:v>Employee 15</x:v>
      </x:c>
      <x:c r="B18" s="14" t="str">
        <x:v>CNC Operator 1</x:v>
      </x:c>
      <x:c r="C18" s="14" t="str">
        <x:v>Production</x:v>
      </x:c>
      <x:c r="D18" s="14" t="n">
        <x:v>1</x:v>
      </x:c>
      <x:c r="E18" s="16" t="n">
        <x:v>40000</x:v>
      </x:c>
      <x:c r="F18" s="16" t="n">
        <x:v>8000</x:v>
      </x:c>
      <x:c r="G18" s="30" t="n">
        <x:f>(E18+F18)*Assumptions!$B$11</x:f>
        <x:v>6624.000000000001</x:v>
      </x:c>
      <x:c r="H18" s="30" t="n">
        <x:f>E18*Assumptions!$B$12</x:f>
        <x:v>2000</x:v>
      </x:c>
      <x:c r="I18" s="30" t="n">
        <x:f>SUM(E18:H18)</x:f>
        <x:v>56624</x:v>
      </x:c>
      <x:c r="J18" s="14" t="str">
        <x:v>Direct</x:v>
      </x:c>
    </x:row>
    <x:row r="19">
      <x:c r="A19" s="14" t="str">
        <x:v>Employee 16</x:v>
      </x:c>
      <x:c r="B19" s="14" t="str">
        <x:v>CNC Operator 2</x:v>
      </x:c>
      <x:c r="C19" s="14" t="str">
        <x:v>Production</x:v>
      </x:c>
      <x:c r="D19" s="14" t="n">
        <x:v>1</x:v>
      </x:c>
      <x:c r="E19" s="16" t="n">
        <x:v>39500</x:v>
      </x:c>
      <x:c r="F19" s="16" t="n">
        <x:v>7500</x:v>
      </x:c>
      <x:c r="G19" s="30" t="n">
        <x:f>(E19+F19)*Assumptions!$B$11</x:f>
        <x:v>6486.000000000001</x:v>
      </x:c>
      <x:c r="H19" s="30" t="n">
        <x:f>E19*Assumptions!$B$12</x:f>
        <x:v>1975</x:v>
      </x:c>
      <x:c r="I19" s="30" t="n">
        <x:f>SUM(E19:H19)</x:f>
        <x:v>55461</x:v>
      </x:c>
      <x:c r="J19" s="14" t="str">
        <x:v>Direct</x:v>
      </x:c>
    </x:row>
    <x:row r="20">
      <x:c r="A20" s="14" t="str">
        <x:v>Employee 17</x:v>
      </x:c>
      <x:c r="B20" s="14" t="str">
        <x:v>CNC Operator 3</x:v>
      </x:c>
      <x:c r="C20" s="14" t="str">
        <x:v>Production</x:v>
      </x:c>
      <x:c r="D20" s="14" t="n">
        <x:v>1</x:v>
      </x:c>
      <x:c r="E20" s="16" t="n">
        <x:v>39000</x:v>
      </x:c>
      <x:c r="F20" s="16" t="n">
        <x:v>7500</x:v>
      </x:c>
      <x:c r="G20" s="30" t="n">
        <x:f>(E20+F20)*Assumptions!$B$11</x:f>
        <x:v>6417.000000000001</x:v>
      </x:c>
      <x:c r="H20" s="30" t="n">
        <x:f>E20*Assumptions!$B$12</x:f>
        <x:v>1950</x:v>
      </x:c>
      <x:c r="I20" s="30" t="n">
        <x:f>SUM(E20:H20)</x:f>
        <x:v>54867</x:v>
      </x:c>
      <x:c r="J20" s="14" t="str">
        <x:v>Direct</x:v>
      </x:c>
    </x:row>
    <x:row r="21">
      <x:c r="A21" s="14" t="str">
        <x:v>Employee 18</x:v>
      </x:c>
      <x:c r="B21" s="14" t="str">
        <x:v>CNC Operator 4</x:v>
      </x:c>
      <x:c r="C21" s="14" t="str">
        <x:v>Production</x:v>
      </x:c>
      <x:c r="D21" s="14" t="n">
        <x:v>1</x:v>
      </x:c>
      <x:c r="E21" s="16" t="n">
        <x:v>38500</x:v>
      </x:c>
      <x:c r="F21" s="16" t="n">
        <x:v>7000</x:v>
      </x:c>
      <x:c r="G21" s="30" t="n">
        <x:f>(E21+F21)*Assumptions!$B$11</x:f>
        <x:v>6279.000000000001</x:v>
      </x:c>
      <x:c r="H21" s="30" t="n">
        <x:f>E21*Assumptions!$B$12</x:f>
        <x:v>1925</x:v>
      </x:c>
      <x:c r="I21" s="30" t="n">
        <x:f>SUM(E21:H21)</x:f>
        <x:v>53704</x:v>
      </x:c>
      <x:c r="J21" s="14" t="str">
        <x:v>Direct</x:v>
      </x:c>
    </x:row>
    <x:row r="22">
      <x:c r="A22" s="14" t="str">
        <x:v>Employee 19</x:v>
      </x:c>
      <x:c r="B22" s="14" t="str">
        <x:v>Assembly Tech 1</x:v>
      </x:c>
      <x:c r="C22" s="14" t="str">
        <x:v>Production</x:v>
      </x:c>
      <x:c r="D22" s="14" t="n">
        <x:v>1</x:v>
      </x:c>
      <x:c r="E22" s="16" t="n">
        <x:v>36000</x:v>
      </x:c>
      <x:c r="F22" s="16" t="n">
        <x:v>5500</x:v>
      </x:c>
      <x:c r="G22" s="30" t="n">
        <x:f>(E22+F22)*Assumptions!$B$11</x:f>
        <x:v>5727.000000000001</x:v>
      </x:c>
      <x:c r="H22" s="30" t="n">
        <x:f>E22*Assumptions!$B$12</x:f>
        <x:v>1800</x:v>
      </x:c>
      <x:c r="I22" s="30" t="n">
        <x:f>SUM(E22:H22)</x:f>
        <x:v>49027</x:v>
      </x:c>
      <x:c r="J22" s="14" t="str">
        <x:v>Direct</x:v>
      </x:c>
    </x:row>
    <x:row r="23">
      <x:c r="A23" s="14" t="str">
        <x:v>Employee 20</x:v>
      </x:c>
      <x:c r="B23" s="14" t="str">
        <x:v>Assembly Tech 2</x:v>
      </x:c>
      <x:c r="C23" s="14" t="str">
        <x:v>Production</x:v>
      </x:c>
      <x:c r="D23" s="14" t="n">
        <x:v>1</x:v>
      </x:c>
      <x:c r="E23" s="16" t="n">
        <x:v>35500</x:v>
      </x:c>
      <x:c r="F23" s="16" t="n">
        <x:v>5000</x:v>
      </x:c>
      <x:c r="G23" s="30" t="n">
        <x:f>(E23+F23)*Assumptions!$B$11</x:f>
        <x:v>5589.000000000001</x:v>
      </x:c>
      <x:c r="H23" s="30" t="n">
        <x:f>E23*Assumptions!$B$12</x:f>
        <x:v>1775</x:v>
      </x:c>
      <x:c r="I23" s="30" t="n">
        <x:f>SUM(E23:H23)</x:f>
        <x:v>47864</x:v>
      </x:c>
      <x:c r="J23" s="14" t="str">
        <x:v>Direct</x:v>
      </x:c>
    </x:row>
    <x:row r="24">
      <x:c r="A24" s="14" t="str">
        <x:v>Employee 21</x:v>
      </x:c>
      <x:c r="B24" s="14" t="str">
        <x:v>Welder 1</x:v>
      </x:c>
      <x:c r="C24" s="14" t="str">
        <x:v>Production</x:v>
      </x:c>
      <x:c r="D24" s="14" t="n">
        <x:v>1</x:v>
      </x:c>
      <x:c r="E24" s="16" t="n">
        <x:v>42000</x:v>
      </x:c>
      <x:c r="F24" s="16" t="n">
        <x:v>7000</x:v>
      </x:c>
      <x:c r="G24" s="30" t="n">
        <x:f>(E24+F24)*Assumptions!$B$11</x:f>
        <x:v>6762.000000000001</x:v>
      </x:c>
      <x:c r="H24" s="30" t="n">
        <x:f>E24*Assumptions!$B$12</x:f>
        <x:v>2100</x:v>
      </x:c>
      <x:c r="I24" s="30" t="n">
        <x:f>SUM(E24:H24)</x:f>
        <x:v>57862</x:v>
      </x:c>
      <x:c r="J24" s="14" t="str">
        <x:v>Direct</x:v>
      </x:c>
    </x:row>
    <x:row r="25">
      <x:c r="A25" s="14" t="str">
        <x:v>Employee 22</x:v>
      </x:c>
      <x:c r="B25" s="14" t="str">
        <x:v>Welder 2</x:v>
      </x:c>
      <x:c r="C25" s="14" t="str">
        <x:v>Production</x:v>
      </x:c>
      <x:c r="D25" s="14" t="n">
        <x:v>1</x:v>
      </x:c>
      <x:c r="E25" s="16" t="n">
        <x:v>41500</x:v>
      </x:c>
      <x:c r="F25" s="16" t="n">
        <x:v>6500</x:v>
      </x:c>
      <x:c r="G25" s="30" t="n">
        <x:f>(E25+F25)*Assumptions!$B$11</x:f>
        <x:v>6624.000000000001</x:v>
      </x:c>
      <x:c r="H25" s="30" t="n">
        <x:f>E25*Assumptions!$B$12</x:f>
        <x:v>2075</x:v>
      </x:c>
      <x:c r="I25" s="30" t="n">
        <x:f>SUM(E25:H25)</x:f>
        <x:v>56699</x:v>
      </x:c>
      <x:c r="J25" s="14" t="str">
        <x:v>Direct</x:v>
      </x:c>
    </x:row>
    <x:row r="26">
      <x:c r="A26" s="14" t="str">
        <x:v>Employee 23</x:v>
      </x:c>
      <x:c r="B26" s="14" t="str">
        <x:v>Warehouse</x:v>
      </x:c>
      <x:c r="C26" s="14" t="str">
        <x:v>Logistics</x:v>
      </x:c>
      <x:c r="D26" s="14" t="n">
        <x:v>1</x:v>
      </x:c>
      <x:c r="E26" s="16" t="n">
        <x:v>34000</x:v>
      </x:c>
      <x:c r="F26" s="16" t="n">
        <x:v>4500</x:v>
      </x:c>
      <x:c r="G26" s="30" t="n">
        <x:f>(E26+F26)*Assumptions!$B$11</x:f>
        <x:v>5313</x:v>
      </x:c>
      <x:c r="H26" s="30" t="n">
        <x:f>E26*Assumptions!$B$12</x:f>
        <x:v>1700</x:v>
      </x:c>
      <x:c r="I26" s="30" t="n">
        <x:f>SUM(E26:H26)</x:f>
        <x:v>45513</x:v>
      </x:c>
      <x:c r="J26" s="14" t="str">
        <x:v>Direct</x:v>
      </x:c>
    </x:row>
    <x:row r="27">
      <x:c r="A27" s="14" t="str">
        <x:v>Employee 24</x:v>
      </x:c>
      <x:c r="B27" s="14" t="str">
        <x:v>Procurement Manager</x:v>
      </x:c>
      <x:c r="C27" s="14" t="str">
        <x:v>Supply Chain</x:v>
      </x:c>
      <x:c r="D27" s="14" t="n">
        <x:v>1</x:v>
      </x:c>
      <x:c r="E27" s="16" t="n">
        <x:v>60000</x:v>
      </x:c>
      <x:c r="F27" s="16" t="n">
        <x:v>5000</x:v>
      </x:c>
      <x:c r="G27" s="30" t="n">
        <x:f>(E27+F27)*Assumptions!$B$11</x:f>
        <x:v>8970</x:v>
      </x:c>
      <x:c r="H27" s="30" t="n">
        <x:f>E27*Assumptions!$B$12</x:f>
        <x:v>3000</x:v>
      </x:c>
      <x:c r="I27" s="30" t="n">
        <x:f>SUM(E27:H27)</x:f>
        <x:v>76970</x:v>
      </x:c>
      <x:c r="J27" s="14" t="str">
        <x:v>Indirect</x:v>
      </x:c>
    </x:row>
    <x:row r="28">
      <x:c r="A28" s="14" t="str">
        <x:v>Employee 25</x:v>
      </x:c>
      <x:c r="B28" s="14" t="str">
        <x:v>HR / Admin</x:v>
      </x:c>
      <x:c r="C28" s="14" t="str">
        <x:v>Admin</x:v>
      </x:c>
      <x:c r="D28" s="14" t="n">
        <x:v>1</x:v>
      </x:c>
      <x:c r="E28" s="16" t="n">
        <x:v>40000</x:v>
      </x:c>
      <x:c r="F28" s="16" t="n">
        <x:v>2500</x:v>
      </x:c>
      <x:c r="G28" s="30" t="n">
        <x:f>(E28+F28)*Assumptions!$B$11</x:f>
        <x:v>5865.000000000001</x:v>
      </x:c>
      <x:c r="H28" s="30" t="n">
        <x:f>E28*Assumptions!$B$12</x:f>
        <x:v>2000</x:v>
      </x:c>
      <x:c r="I28" s="30" t="n">
        <x:f>SUM(E28:H28)</x:f>
        <x:v>50365</x:v>
      </x:c>
      <x:c r="J28" s="14" t="str">
        <x:v>Indirect</x:v>
      </x:c>
    </x:row>
    <x:row r="29">
      <x:c r="E29" s="31"/>
      <x:c r="F29" s="31"/>
      <x:c r="G29" s="31"/>
      <x:c r="H29" s="31"/>
      <x:c r="I29" s="31"/>
    </x:row>
    <x:row r="30">
      <x:c r="A30" s="22" t="str">
        <x:v>TOTAL</x:v>
      </x:c>
      <x:c r="B30" s="22" t="str"/>
      <x:c r="C30" s="22" t="str"/>
      <x:c r="D30" s="22" t="n">
        <x:f>SUM(D4:D28)</x:f>
        <x:v>25</x:v>
      </x:c>
      <x:c r="E30" s="34" t="n">
        <x:f>SUM(E4:E28)</x:f>
        <x:v>1509000</x:v>
      </x:c>
      <x:c r="F30" s="34" t="n">
        <x:f>SUM(F4:F28)</x:f>
        <x:v>195000</x:v>
      </x:c>
      <x:c r="G30" s="34" t="n">
        <x:f>SUM(G4:G28)</x:f>
        <x:v>235152</x:v>
      </x:c>
      <x:c r="H30" s="34" t="n">
        <x:f>SUM(H4:H28)</x:f>
        <x:v>75450</x:v>
      </x:c>
      <x:c r="I30" s="34" t="n">
        <x:f>SUM(I4:I28)</x:f>
        <x:v>2014602</x:v>
      </x:c>
      <x:c r="J30" s="22" t="str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.130000114440918" hidden="0" customWidth="1"/>
    <x:col min="3" max="3" width="10.5" hidden="0" customWidth="1"/>
    <x:col min="4" max="4" width="16.8799991607666" hidden="0" customWidth="1"/>
    <x:col min="5" max="5" width="12.880000114440918" hidden="0" customWidth="1"/>
    <x:col min="6" max="6" width="16.8799991607666" hidden="0" customWidth="1"/>
    <x:col min="7" max="7" width="16" hidden="0" customWidth="1"/>
    <x:col min="8" max="8" width="15.380000114440918" hidden="0" customWidth="1"/>
    <x:col min="9" max="9" width="6.5" hidden="0" customWidth="1"/>
    <x:col min="10" max="10" width="12.25" hidden="0" customWidth="1"/>
  </x:cols>
  <x:sheetData>
    <x:row r="1" ht="28" customHeight="1">
      <x:c r="A1" s="3" t="str">
        <x:v>Capacity Planning &amp; Utilisation – Scenario 2</x:v>
      </x:c>
    </x:row>
    <x:row r="3">
      <x:c r="A3" s="9" t="str">
        <x:v>Work Centre</x:v>
      </x:c>
      <x:c r="B3" s="9" t="str">
        <x:v>FTE / Machines</x:v>
      </x:c>
      <x:c r="C3" s="9" t="str">
        <x:v>Available Hrs</x:v>
      </x:c>
      <x:c r="D3" s="9" t="str">
        <x:v>Practical Capacity Hrs</x:v>
      </x:c>
      <x:c r="E3" s="9" t="str">
        <x:v>Budget Load Hrs</x:v>
      </x:c>
      <x:c r="F3" s="9" t="str">
        <x:v>Actual Productive Hrs</x:v>
      </x:c>
      <x:c r="G3" s="9" t="str">
        <x:v>Budget Utilisation %</x:v>
      </x:c>
      <x:c r="H3" s="9" t="str">
        <x:v>Actual Utilisation %</x:v>
      </x:c>
      <x:c r="I3" s="9" t="str">
        <x:v>Gap Hrs</x:v>
      </x:c>
      <x:c r="J3" s="9" t="str">
        <x:v>Flag</x:v>
      </x:c>
    </x:row>
    <x:row r="4">
      <x:c r="A4" s="14" t="str">
        <x:v>CNC Machining</x:v>
      </x:c>
      <x:c r="B4" s="14" t="n">
        <x:v>4</x:v>
      </x:c>
      <x:c r="C4" s="20" t="n">
        <x:f>B4*Assumptions!$B$10</x:f>
        <x:v>7700</x:v>
      </x:c>
      <x:c r="D4" s="20" t="n">
        <x:f>C4*Assumptions!$B$9</x:f>
        <x:v>6468</x:v>
      </x:c>
      <x:c r="E4" s="20" t="n">
        <x:v>6600</x:v>
      </x:c>
      <x:c r="F4" s="20" t="n">
        <x:v>6450</x:v>
      </x:c>
      <x:c r="G4" s="36" t="n">
        <x:f>E4/D4</x:f>
        <x:v>1.0204081632653061</x:v>
      </x:c>
      <x:c r="H4" s="36" t="n">
        <x:f>F4/D4</x:f>
        <x:v>0.9972170686456401</x:v>
      </x:c>
      <x:c r="I4" s="20" t="n">
        <x:f>D4-E4</x:f>
        <x:v>-132</x:v>
      </x:c>
      <x:c r="J4" s="20" t="str">
        <x:f>IF(G4&gt;1,"OVER CAPACITY",IF(G4&gt;0.92,"TIGHT",IF(G4&lt;0.7,"UNDER-UTILISED","OK")))</x:f>
        <x:v>OVER CAPACITY</x:v>
      </x:c>
    </x:row>
    <x:row r="5">
      <x:c r="A5" s="14" t="str">
        <x:v>Assembly</x:v>
      </x:c>
      <x:c r="B5" s="14" t="n">
        <x:v>2</x:v>
      </x:c>
      <x:c r="C5" s="20" t="n">
        <x:f>B5*Assumptions!$B$10</x:f>
        <x:v>3850</x:v>
      </x:c>
      <x:c r="D5" s="20" t="n">
        <x:f>C5*Assumptions!$B$9</x:f>
        <x:v>3234</x:v>
      </x:c>
      <x:c r="E5" s="20" t="n">
        <x:v>3500</x:v>
      </x:c>
      <x:c r="F5" s="20" t="n">
        <x:v>3370</x:v>
      </x:c>
      <x:c r="G5" s="36" t="n">
        <x:f>E5/D5</x:f>
        <x:v>1.0822510822510822</x:v>
      </x:c>
      <x:c r="H5" s="36" t="n">
        <x:f>F5/D5</x:f>
        <x:v>1.0420531849103278</x:v>
      </x:c>
      <x:c r="I5" s="20" t="n">
        <x:f>D5-E5</x:f>
        <x:v>-266</x:v>
      </x:c>
      <x:c r="J5" s="20" t="str">
        <x:f>IF(G5&gt;1,"OVER CAPACITY",IF(G5&gt;0.92,"TIGHT",IF(G5&lt;0.7,"UNDER-UTILISED","OK")))</x:f>
        <x:v>OVER CAPACITY</x:v>
      </x:c>
    </x:row>
    <x:row r="6">
      <x:c r="A6" s="14" t="str">
        <x:v>Welding</x:v>
      </x:c>
      <x:c r="B6" s="14" t="n">
        <x:v>2</x:v>
      </x:c>
      <x:c r="C6" s="20" t="n">
        <x:f>B6*Assumptions!$B$10</x:f>
        <x:v>3850</x:v>
      </x:c>
      <x:c r="D6" s="20" t="n">
        <x:f>C6*Assumptions!$B$9</x:f>
        <x:v>3234</x:v>
      </x:c>
      <x:c r="E6" s="20" t="n">
        <x:v>3300</x:v>
      </x:c>
      <x:c r="F6" s="20" t="n">
        <x:v>3210</x:v>
      </x:c>
      <x:c r="G6" s="36" t="n">
        <x:f>E6/D6</x:f>
        <x:v>1.0204081632653061</x:v>
      </x:c>
      <x:c r="H6" s="36" t="n">
        <x:f>F6/D6</x:f>
        <x:v>0.9925788497217068</x:v>
      </x:c>
      <x:c r="I6" s="20" t="n">
        <x:f>D6-E6</x:f>
        <x:v>-66</x:v>
      </x:c>
      <x:c r="J6" s="20" t="str">
        <x:f>IF(G6&gt;1,"OVER CAPACITY",IF(G6&gt;0.92,"TIGHT",IF(G6&lt;0.7,"UNDER-UTILISED","OK")))</x:f>
        <x:v>OVER CAPACITY</x:v>
      </x:c>
    </x:row>
    <x:row r="7">
      <x:c r="A7" s="14" t="str">
        <x:v>Engineering</x:v>
      </x:c>
      <x:c r="B7" s="14" t="n">
        <x:v>1</x:v>
      </x:c>
      <x:c r="C7" s="20" t="n">
        <x:f>B7*Assumptions!$B$10</x:f>
        <x:v>1925</x:v>
      </x:c>
      <x:c r="D7" s="20" t="n">
        <x:f>C7*Assumptions!$B$9</x:f>
        <x:v>1617</x:v>
      </x:c>
      <x:c r="E7" s="20" t="n">
        <x:v>1550</x:v>
      </x:c>
      <x:c r="F7" s="20" t="n">
        <x:v>1420</x:v>
      </x:c>
      <x:c r="G7" s="36" t="n">
        <x:f>E7/D7</x:f>
        <x:v>0.95856524427953</x:v>
      </x:c>
      <x:c r="H7" s="36" t="n">
        <x:f>F7/D7</x:f>
        <x:v>0.878169449598021</x:v>
      </x:c>
      <x:c r="I7" s="20" t="n">
        <x:f>D7-E7</x:f>
        <x:v>67</x:v>
      </x:c>
      <x:c r="J7" s="20" t="str">
        <x:f>IF(G7&gt;1,"OVER CAPACITY",IF(G7&gt;0.92,"TIGHT",IF(G7&lt;0.7,"UNDER-UTILISED","OK")))</x:f>
        <x:v>TIGHT</x:v>
      </x:c>
    </x:row>
    <x:row r="8">
      <x:c r="A8" s="14" t="str">
        <x:v>Maintenance</x:v>
      </x:c>
      <x:c r="B8" s="14" t="n">
        <x:v>1</x:v>
      </x:c>
      <x:c r="C8" s="20" t="n">
        <x:f>B8*Assumptions!$B$10</x:f>
        <x:v>1925</x:v>
      </x:c>
      <x:c r="D8" s="20" t="n">
        <x:f>C8*Assumptions!$B$9</x:f>
        <x:v>1617</x:v>
      </x:c>
      <x:c r="E8" s="20" t="n">
        <x:v>1450</x:v>
      </x:c>
      <x:c r="F8" s="20" t="n">
        <x:v>1310</x:v>
      </x:c>
      <x:c r="G8" s="36" t="n">
        <x:f>E8/D8</x:f>
        <x:v>0.8967223252937538</x:v>
      </x:c>
      <x:c r="H8" s="36" t="n">
        <x:f>F8/D8</x:f>
        <x:v>0.8101422387136673</x:v>
      </x:c>
      <x:c r="I8" s="20" t="n">
        <x:f>D8-E8</x:f>
        <x:v>167</x:v>
      </x:c>
      <x:c r="J8" s="20" t="str">
        <x:f>IF(G8&gt;1,"OVER CAPACITY",IF(G8&gt;0.92,"TIGHT",IF(G8&lt;0.7,"UNDER-UTILISED","OK")))</x:f>
        <x:v>OK</x:v>
      </x:c>
    </x:row>
    <x:row r="9">
      <x:c r="A9" s="14" t="str">
        <x:v>Warehouse</x:v>
      </x:c>
      <x:c r="B9" s="14" t="n">
        <x:v>1</x:v>
      </x:c>
      <x:c r="C9" s="20" t="n">
        <x:f>B9*Assumptions!$B$10</x:f>
        <x:v>1925</x:v>
      </x:c>
      <x:c r="D9" s="20" t="n">
        <x:f>C9*Assumptions!$B$9</x:f>
        <x:v>1617</x:v>
      </x:c>
      <x:c r="E9" s="20" t="n">
        <x:v>1600</x:v>
      </x:c>
      <x:c r="F9" s="20" t="n">
        <x:v>1500</x:v>
      </x:c>
      <x:c r="G9" s="36" t="n">
        <x:f>E9/D9</x:f>
        <x:v>0.9894867037724181</x:v>
      </x:c>
      <x:c r="H9" s="36" t="n">
        <x:f>F9/D9</x:f>
        <x:v>0.9276437847866419</x:v>
      </x:c>
      <x:c r="I9" s="20" t="n">
        <x:f>D9-E9</x:f>
        <x:v>17</x:v>
      </x:c>
      <x:c r="J9" s="20" t="str">
        <x:f>IF(G9&gt;1,"OVER CAPACITY",IF(G9&gt;0.92,"TIGHT",IF(G9&lt;0.7,"UNDER-UTILISED","OK")))</x:f>
        <x:v>TIGHT</x:v>
      </x:c>
    </x:row>
  </x:sheetData>
  <x:mergeCells>
    <x:mergeCell ref="A1:J1"/>
  </x:mergeCells>
  <x:conditionalFormatting sqref="J4:J9">
    <x:cfRule type="expression" dxfId="2" priority="1">
      <x:formula>J4="OVER CAPACITY"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.130000114440918" hidden="0" customWidth="1"/>
    <x:col min="3" max="3" width="6.130000114440918" hidden="0" customWidth="1"/>
    <x:col min="4" max="4" width="6.130000114440918" hidden="0" customWidth="1"/>
    <x:col min="5" max="5" width="6.130000114440918" hidden="0" customWidth="1"/>
    <x:col min="6" max="6" width="6.130000114440918" hidden="0" customWidth="1"/>
    <x:col min="7" max="7" width="6.130000114440918" hidden="0" customWidth="1"/>
    <x:col min="8" max="8" width="6.130000114440918" hidden="0" customWidth="1"/>
    <x:col min="9" max="9" width="6.130000114440918" hidden="0" customWidth="1"/>
    <x:col min="10" max="10" width="6.130000114440918" hidden="0" customWidth="1"/>
    <x:col min="11" max="11" width="6.130000114440918" hidden="0" customWidth="1"/>
    <x:col min="12" max="12" width="6.130000114440918" hidden="0" customWidth="1"/>
    <x:col min="13" max="13" width="6.130000114440918" hidden="0" customWidth="1"/>
    <x:col min="14" max="14" width="7.25" hidden="0" customWidth="1"/>
  </x:cols>
  <x:sheetData>
    <x:row r="1" ht="28" customHeight="1">
      <x:c r="A1" s="3" t="str">
        <x:v>Monthly Management Accounts – Scenario 2 FY2026</x:v>
      </x:c>
    </x:row>
    <x:row r="3">
      <x:c r="A3" s="9" t="str">
        <x:v>£000 unless stated</x:v>
      </x:c>
      <x:c r="B3" s="9" t="str">
        <x:v>Jan</x:v>
      </x:c>
      <x:c r="C3" s="9" t="str">
        <x:v>Feb</x:v>
      </x:c>
      <x:c r="D3" s="9" t="str">
        <x:v>Mar</x:v>
      </x:c>
      <x:c r="E3" s="9" t="str">
        <x:v>Apr</x:v>
      </x:c>
      <x:c r="F3" s="9" t="str">
        <x:v>May</x:v>
      </x:c>
      <x:c r="G3" s="9" t="str">
        <x:v>Jun</x:v>
      </x:c>
      <x:c r="H3" s="9" t="str">
        <x:v>Jul</x:v>
      </x:c>
      <x:c r="I3" s="9" t="str">
        <x:v>Aug</x:v>
      </x:c>
      <x:c r="J3" s="9" t="str">
        <x:v>Sep</x:v>
      </x:c>
      <x:c r="K3" s="9" t="str">
        <x:v>Oct</x:v>
      </x:c>
      <x:c r="L3" s="9" t="str">
        <x:v>Nov</x:v>
      </x:c>
      <x:c r="M3" s="9" t="str">
        <x:v>Dec</x:v>
      </x:c>
      <x:c r="N3" s="9" t="str">
        <x:v>FY</x:v>
      </x:c>
    </x:row>
    <x:row r="4">
      <x:c r="A4" t="str">
        <x:v>Revenue</x:v>
      </x:c>
      <x:c r="B4" s="38" t="n">
        <x:v>1050</x:v>
      </x:c>
      <x:c r="C4" s="38" t="n">
        <x:v>1100</x:v>
      </x:c>
      <x:c r="D4" s="38" t="n">
        <x:v>1170</x:v>
      </x:c>
      <x:c r="E4" s="38" t="n">
        <x:v>1200</x:v>
      </x:c>
      <x:c r="F4" s="38" t="n">
        <x:v>1230</x:v>
      </x:c>
      <x:c r="G4" s="38" t="n">
        <x:v>1270</x:v>
      </x:c>
      <x:c r="H4" s="38" t="n">
        <x:v>1300</x:v>
      </x:c>
      <x:c r="I4" s="38" t="n">
        <x:v>1320</x:v>
      </x:c>
      <x:c r="J4" s="38" t="n">
        <x:v>1350</x:v>
      </x:c>
      <x:c r="K4" s="38" t="n">
        <x:v>1400</x:v>
      </x:c>
      <x:c r="L4" s="38" t="n">
        <x:v>1370</x:v>
      </x:c>
      <x:c r="M4" s="38" t="n">
        <x:v>1240</x:v>
      </x:c>
      <x:c r="N4" s="39" t="n">
        <x:f>SUM(B4:M4)</x:f>
        <x:v>15000</x:v>
      </x:c>
    </x:row>
    <x:row r="5">
      <x:c r="A5" t="str">
        <x:v>Cost of Sales</x:v>
      </x:c>
      <x:c r="B5" s="40" t="n">
        <x:f>B4*(1-0.345)</x:f>
        <x:v>687.75</x:v>
      </x:c>
      <x:c r="C5" s="40" t="n">
        <x:f>C4*(1-0.338)</x:f>
        <x:v>728.1999999999999</x:v>
      </x:c>
      <x:c r="D5" s="40" t="n">
        <x:f>D4*(1-0.331)</x:f>
        <x:v>782.73</x:v>
      </x:c>
      <x:c r="E5" s="40" t="n">
        <x:f>E4*(1-0.326)</x:f>
        <x:v>808.8</x:v>
      </x:c>
      <x:c r="F5" s="40" t="n">
        <x:f>F4*(1-0.32)</x:f>
        <x:v>836.4</x:v>
      </x:c>
      <x:c r="G5" s="40" t="n">
        <x:f>G4*(1-0.315)</x:f>
        <x:v>869.95</x:v>
      </x:c>
      <x:c r="H5" s="40" t="n">
        <x:f>H4*(1-0.309)</x:f>
        <x:v>898.3000000000001</x:v>
      </x:c>
      <x:c r="I5" s="40" t="n">
        <x:f>I4*(1-0.302)</x:f>
        <x:v>921.3599999999999</x:v>
      </x:c>
      <x:c r="J5" s="40" t="n">
        <x:f>J4*(1-0.296)</x:f>
        <x:v>950.4</x:v>
      </x:c>
      <x:c r="K5" s="40" t="n">
        <x:f>K4*(1-0.29)</x:f>
        <x:v>994</x:v>
      </x:c>
      <x:c r="L5" s="40" t="n">
        <x:f>L4*(1-0.284)</x:f>
        <x:v>980.92</x:v>
      </x:c>
      <x:c r="M5" s="40" t="n">
        <x:f>M4*(1-0.278)</x:f>
        <x:v>895.28</x:v>
      </x:c>
      <x:c r="N5" s="40" t="n">
        <x:f>SUM(B5:M5)</x:f>
        <x:v>10354.09</x:v>
      </x:c>
    </x:row>
    <x:row r="6">
      <x:c r="A6" t="str">
        <x:v>Gross Profit</x:v>
      </x:c>
      <x:c r="B6" s="40" t="n">
        <x:f>B4-B5</x:f>
        <x:v>362.25</x:v>
      </x:c>
      <x:c r="C6" s="40" t="n">
        <x:f>C4-C5</x:f>
        <x:v>371.80000000000007</x:v>
      </x:c>
      <x:c r="D6" s="40" t="n">
        <x:f>D4-D5</x:f>
        <x:v>387.27</x:v>
      </x:c>
      <x:c r="E6" s="40" t="n">
        <x:f>E4-E5</x:f>
        <x:v>391.20000000000005</x:v>
      </x:c>
      <x:c r="F6" s="40" t="n">
        <x:f>F4-F5</x:f>
        <x:v>393.6</x:v>
      </x:c>
      <x:c r="G6" s="40" t="n">
        <x:f>G4-G5</x:f>
        <x:v>400.04999999999995</x:v>
      </x:c>
      <x:c r="H6" s="40" t="n">
        <x:f>H4-H5</x:f>
        <x:v>401.69999999999993</x:v>
      </x:c>
      <x:c r="I6" s="40" t="n">
        <x:f>I4-I5</x:f>
        <x:v>398.6400000000001</x:v>
      </x:c>
      <x:c r="J6" s="40" t="n">
        <x:f>J4-J5</x:f>
        <x:v>399.6</x:v>
      </x:c>
      <x:c r="K6" s="40" t="n">
        <x:f>K4-K5</x:f>
        <x:v>406</x:v>
      </x:c>
      <x:c r="L6" s="40" t="n">
        <x:f>L4-L5</x:f>
        <x:v>389.08000000000004</x:v>
      </x:c>
      <x:c r="M6" s="40" t="n">
        <x:f>M4-M5</x:f>
        <x:v>344.72</x:v>
      </x:c>
      <x:c r="N6" s="40" t="n">
        <x:f>SUM(B6:M6)</x:f>
        <x:v>4645.910000000001</x:v>
      </x:c>
    </x:row>
    <x:row r="7">
      <x:c r="A7" t="str">
        <x:v>Gross Margin %</x:v>
      </x:c>
      <x:c r="B7" s="36" t="n">
        <x:f>B6/B4</x:f>
        <x:v>0.345</x:v>
      </x:c>
      <x:c r="C7" s="36" t="n">
        <x:f>C6/C4</x:f>
        <x:v>0.3380000000000001</x:v>
      </x:c>
      <x:c r="D7" s="36" t="n">
        <x:f>D6/D4</x:f>
        <x:v>0.33099999999999996</x:v>
      </x:c>
      <x:c r="E7" s="36" t="n">
        <x:f>E6/E4</x:f>
        <x:v>0.326</x:v>
      </x:c>
      <x:c r="F7" s="36" t="n">
        <x:f>F6/F4</x:f>
        <x:v>0.32</x:v>
      </x:c>
      <x:c r="G7" s="36" t="n">
        <x:f>G6/G4</x:f>
        <x:v>0.31499999999999995</x:v>
      </x:c>
      <x:c r="H7" s="36" t="n">
        <x:f>H6/H4</x:f>
        <x:v>0.30899999999999994</x:v>
      </x:c>
      <x:c r="I7" s="36" t="n">
        <x:f>I6/I4</x:f>
        <x:v>0.3020000000000001</x:v>
      </x:c>
      <x:c r="J7" s="36" t="n">
        <x:f>J6/J4</x:f>
        <x:v>0.29600000000000004</x:v>
      </x:c>
      <x:c r="K7" s="36" t="n">
        <x:f>K6/K4</x:f>
        <x:v>0.29</x:v>
      </x:c>
      <x:c r="L7" s="36" t="n">
        <x:f>L6/L4</x:f>
        <x:v>0.28400000000000003</x:v>
      </x:c>
      <x:c r="M7" s="36" t="n">
        <x:f>M6/M4</x:f>
        <x:v>0.278</x:v>
      </x:c>
      <x:c r="N7" s="36" t="n">
        <x:f>N6/N4</x:f>
        <x:v>0.3097273333333334</x:v>
      </x:c>
    </x:row>
    <x:row r="8">
      <x:c r="A8" t="str">
        <x:v>Payroll &amp; Staff Costs</x:v>
      </x:c>
      <x:c r="B8" s="40" t="n">
        <x:v>160</x:v>
      </x:c>
      <x:c r="C8" s="40" t="n">
        <x:v>163</x:v>
      </x:c>
      <x:c r="D8" s="40" t="n">
        <x:v>166</x:v>
      </x:c>
      <x:c r="E8" s="40" t="n">
        <x:v>169</x:v>
      </x:c>
      <x:c r="F8" s="40" t="n">
        <x:v>160</x:v>
      </x:c>
      <x:c r="G8" s="40" t="n">
        <x:v>163</x:v>
      </x:c>
      <x:c r="H8" s="40" t="n">
        <x:v>166</x:v>
      </x:c>
      <x:c r="I8" s="40" t="n">
        <x:v>169</x:v>
      </x:c>
      <x:c r="J8" s="40" t="n">
        <x:v>160</x:v>
      </x:c>
      <x:c r="K8" s="40" t="n">
        <x:v>163</x:v>
      </x:c>
      <x:c r="L8" s="40" t="n">
        <x:v>166</x:v>
      </x:c>
      <x:c r="M8" s="40" t="n">
        <x:v>169</x:v>
      </x:c>
      <x:c r="N8" s="40" t="n">
        <x:f>SUM(B8:M8)</x:f>
        <x:v>1974</x:v>
      </x:c>
    </x:row>
    <x:row r="9">
      <x:c r="A9" t="str">
        <x:v>Other Operating Costs</x:v>
      </x:c>
      <x:c r="B9" s="40" t="n">
        <x:v>250</x:v>
      </x:c>
      <x:c r="C9" s="40" t="n">
        <x:v>252</x:v>
      </x:c>
      <x:c r="D9" s="40" t="n">
        <x:v>254</x:v>
      </x:c>
      <x:c r="E9" s="40" t="n">
        <x:v>257</x:v>
      </x:c>
      <x:c r="F9" s="40" t="n">
        <x:v>260</x:v>
      </x:c>
      <x:c r="G9" s="40" t="n">
        <x:v>263</x:v>
      </x:c>
      <x:c r="H9" s="40" t="n">
        <x:v>266</x:v>
      </x:c>
      <x:c r="I9" s="40" t="n">
        <x:v>270</x:v>
      </x:c>
      <x:c r="J9" s="40" t="n">
        <x:v>274</x:v>
      </x:c>
      <x:c r="K9" s="40" t="n">
        <x:v>278</x:v>
      </x:c>
      <x:c r="L9" s="40" t="n">
        <x:v>282</x:v>
      </x:c>
      <x:c r="M9" s="40" t="n">
        <x:v>286</x:v>
      </x:c>
      <x:c r="N9" s="40" t="n">
        <x:f>SUM(B9:M9)</x:f>
        <x:v>3192</x:v>
      </x:c>
    </x:row>
    <x:row r="10">
      <x:c r="A10" t="str">
        <x:v>EBITDA</x:v>
      </x:c>
      <x:c r="B10" s="40" t="n">
        <x:f>B6-B8-B9</x:f>
        <x:v>-47.75</x:v>
      </x:c>
      <x:c r="C10" s="40" t="n">
        <x:f>C6-C8-C9</x:f>
        <x:v>-43.19999999999993</x:v>
      </x:c>
      <x:c r="D10" s="40" t="n">
        <x:f>D6-D8-D9</x:f>
        <x:v>-32.73000000000002</x:v>
      </x:c>
      <x:c r="E10" s="40" t="n">
        <x:f>E6-E8-E9</x:f>
        <x:v>-34.799999999999955</x:v>
      </x:c>
      <x:c r="F10" s="40" t="n">
        <x:f>F6-F8-F9</x:f>
        <x:v>-26.399999999999977</x:v>
      </x:c>
      <x:c r="G10" s="40" t="n">
        <x:f>G6-G8-G9</x:f>
        <x:v>-25.950000000000045</x:v>
      </x:c>
      <x:c r="H10" s="40" t="n">
        <x:f>H6-H8-H9</x:f>
        <x:v>-30.300000000000068</x:v>
      </x:c>
      <x:c r="I10" s="40" t="n">
        <x:f>I6-I8-I9</x:f>
        <x:v>-40.3599999999999</x:v>
      </x:c>
      <x:c r="J10" s="40" t="n">
        <x:f>J6-J8-J9</x:f>
        <x:v>-34.39999999999998</x:v>
      </x:c>
      <x:c r="K10" s="40" t="n">
        <x:f>K6-K8-K9</x:f>
        <x:v>-35</x:v>
      </x:c>
      <x:c r="L10" s="40" t="n">
        <x:f>L6-L8-L9</x:f>
        <x:v>-58.91999999999996</x:v>
      </x:c>
      <x:c r="M10" s="40" t="n">
        <x:f>M6-M8-M9</x:f>
        <x:v>-110.27999999999997</x:v>
      </x:c>
      <x:c r="N10" s="40" t="n">
        <x:f>SUM(B10:M10)</x:f>
        <x:v>-520.0899999999998</x:v>
      </x:c>
    </x:row>
    <x:row r="11">
      <x:c r="A11" t="str">
        <x:v>EBITDA Margin %</x:v>
      </x:c>
      <x:c r="B11" s="36" t="n">
        <x:f>B10/B4</x:f>
        <x:v>-0.045476190476190476</x:v>
      </x:c>
      <x:c r="C11" s="36" t="n">
        <x:f>C10/C4</x:f>
        <x:v>-0.03927272727272721</x:v>
      </x:c>
      <x:c r="D11" s="36" t="n">
        <x:f>D10/D4</x:f>
        <x:v>-0.02797435897435899</x:v>
      </x:c>
      <x:c r="E11" s="36" t="n">
        <x:f>E10/E4</x:f>
        <x:v>-0.028999999999999963</x:v>
      </x:c>
      <x:c r="F11" s="36" t="n">
        <x:f>F10/F4</x:f>
        <x:v>-0.021463414634146322</x:v>
      </x:c>
      <x:c r="G11" s="36" t="n">
        <x:f>G10/G4</x:f>
        <x:v>-0.020433070866141767</x:v>
      </x:c>
      <x:c r="H11" s="36" t="n">
        <x:f>H10/H4</x:f>
        <x:v>-0.02330769230769236</x:v>
      </x:c>
      <x:c r="I11" s="36" t="n">
        <x:f>I10/I4</x:f>
        <x:v>-0.0305757575757575</x:v>
      </x:c>
      <x:c r="J11" s="36" t="n">
        <x:f>J10/J4</x:f>
        <x:v>-0.025481481481481466</x:v>
      </x:c>
      <x:c r="K11" s="36" t="n">
        <x:f>K10/K4</x:f>
        <x:v>-0.025</x:v>
      </x:c>
      <x:c r="L11" s="36" t="n">
        <x:f>L10/L4</x:f>
        <x:v>-0.04300729927007296</x:v>
      </x:c>
      <x:c r="M11" s="36" t="n">
        <x:f>M10/M4</x:f>
        <x:v>-0.08893548387096772</x:v>
      </x:c>
      <x:c r="N11" s="36" t="n">
        <x:f>N10/N4</x:f>
        <x:v>-0.03467266666666665</x:v>
      </x:c>
    </x:row>
    <x:row r="12">
      <x:c r="A12" t="str">
        <x:v>Depreciation</x:v>
      </x:c>
      <x:c r="B12" s="40" t="n">
        <x:v>45</x:v>
      </x:c>
      <x:c r="C12" s="40" t="n">
        <x:v>45</x:v>
      </x:c>
      <x:c r="D12" s="40" t="n">
        <x:v>45</x:v>
      </x:c>
      <x:c r="E12" s="40" t="n">
        <x:v>45</x:v>
      </x:c>
      <x:c r="F12" s="40" t="n">
        <x:v>45</x:v>
      </x:c>
      <x:c r="G12" s="40" t="n">
        <x:v>45</x:v>
      </x:c>
      <x:c r="H12" s="40" t="n">
        <x:v>45</x:v>
      </x:c>
      <x:c r="I12" s="40" t="n">
        <x:v>45</x:v>
      </x:c>
      <x:c r="J12" s="40" t="n">
        <x:v>45</x:v>
      </x:c>
      <x:c r="K12" s="40" t="n">
        <x:v>45</x:v>
      </x:c>
      <x:c r="L12" s="40" t="n">
        <x:v>45</x:v>
      </x:c>
      <x:c r="M12" s="40" t="n">
        <x:v>45</x:v>
      </x:c>
      <x:c r="N12" s="40" t="n">
        <x:f>SUM(B12:M12)</x:f>
        <x:v>540</x:v>
      </x:c>
    </x:row>
    <x:row r="13">
      <x:c r="A13" t="str">
        <x:v>EBIT</x:v>
      </x:c>
      <x:c r="B13" s="40" t="n">
        <x:f>B10-B12</x:f>
        <x:v>-92.75</x:v>
      </x:c>
      <x:c r="C13" s="40" t="n">
        <x:f>C10-C12</x:f>
        <x:v>-88.19999999999993</x:v>
      </x:c>
      <x:c r="D13" s="40" t="n">
        <x:f>D10-D12</x:f>
        <x:v>-77.73000000000002</x:v>
      </x:c>
      <x:c r="E13" s="40" t="n">
        <x:f>E10-E12</x:f>
        <x:v>-79.79999999999995</x:v>
      </x:c>
      <x:c r="F13" s="40" t="n">
        <x:f>F10-F12</x:f>
        <x:v>-71.39999999999998</x:v>
      </x:c>
      <x:c r="G13" s="40" t="n">
        <x:f>G10-G12</x:f>
        <x:v>-70.95000000000005</x:v>
      </x:c>
      <x:c r="H13" s="40" t="n">
        <x:f>H10-H12</x:f>
        <x:v>-75.30000000000007</x:v>
      </x:c>
      <x:c r="I13" s="40" t="n">
        <x:f>I10-I12</x:f>
        <x:v>-85.3599999999999</x:v>
      </x:c>
      <x:c r="J13" s="40" t="n">
        <x:f>J10-J12</x:f>
        <x:v>-79.39999999999998</x:v>
      </x:c>
      <x:c r="K13" s="40" t="n">
        <x:f>K10-K12</x:f>
        <x:v>-80</x:v>
      </x:c>
      <x:c r="L13" s="40" t="n">
        <x:f>L10-L12</x:f>
        <x:v>-103.91999999999996</x:v>
      </x:c>
      <x:c r="M13" s="40" t="n">
        <x:f>M10-M12</x:f>
        <x:v>-155.27999999999997</x:v>
      </x:c>
      <x:c r="N13" s="40" t="n">
        <x:f>SUM(B13:M13)</x:f>
        <x:v>-1060.0899999999997</x:v>
      </x:c>
    </x:row>
    <x:row r="14">
      <x:c r="A14" t="str">
        <x:v>Interest</x:v>
      </x:c>
      <x:c r="B14" s="40" t="n">
        <x:v>11</x:v>
      </x:c>
      <x:c r="C14" s="40" t="n">
        <x:v>11.3</x:v>
      </x:c>
      <x:c r="D14" s="40" t="n">
        <x:v>11.6</x:v>
      </x:c>
      <x:c r="E14" s="40" t="n">
        <x:v>11.9</x:v>
      </x:c>
      <x:c r="F14" s="40" t="n">
        <x:v>12.2</x:v>
      </x:c>
      <x:c r="G14" s="40" t="n">
        <x:v>12.5</x:v>
      </x:c>
      <x:c r="H14" s="40" t="n">
        <x:v>12.8</x:v>
      </x:c>
      <x:c r="I14" s="40" t="n">
        <x:v>13.1</x:v>
      </x:c>
      <x:c r="J14" s="40" t="n">
        <x:v>13.4</x:v>
      </x:c>
      <x:c r="K14" s="40" t="n">
        <x:v>13.7</x:v>
      </x:c>
      <x:c r="L14" s="40" t="n">
        <x:v>14</x:v>
      </x:c>
      <x:c r="M14" s="40" t="n">
        <x:v>14.3</x:v>
      </x:c>
      <x:c r="N14" s="40" t="n">
        <x:f>SUM(B14:M14)</x:f>
        <x:v>151.8</x:v>
      </x:c>
    </x:row>
    <x:row r="15">
      <x:c r="A15" t="str">
        <x:v>Profit Before Tax</x:v>
      </x:c>
      <x:c r="B15" s="40" t="n">
        <x:f>B13-B14</x:f>
        <x:v>-103.75</x:v>
      </x:c>
      <x:c r="C15" s="40" t="n">
        <x:f>C13-C14</x:f>
        <x:v>-99.49999999999993</x:v>
      </x:c>
      <x:c r="D15" s="40" t="n">
        <x:f>D13-D14</x:f>
        <x:v>-89.33000000000001</x:v>
      </x:c>
      <x:c r="E15" s="40" t="n">
        <x:f>E13-E14</x:f>
        <x:v>-91.69999999999996</x:v>
      </x:c>
      <x:c r="F15" s="40" t="n">
        <x:f>F13-F14</x:f>
        <x:v>-83.59999999999998</x:v>
      </x:c>
      <x:c r="G15" s="40" t="n">
        <x:f>G13-G14</x:f>
        <x:v>-83.45000000000005</x:v>
      </x:c>
      <x:c r="H15" s="40" t="n">
        <x:f>H13-H14</x:f>
        <x:v>-88.10000000000007</x:v>
      </x:c>
      <x:c r="I15" s="40" t="n">
        <x:f>I13-I14</x:f>
        <x:v>-98.4599999999999</x:v>
      </x:c>
      <x:c r="J15" s="40" t="n">
        <x:f>J13-J14</x:f>
        <x:v>-92.79999999999998</x:v>
      </x:c>
      <x:c r="K15" s="40" t="n">
        <x:f>K13-K14</x:f>
        <x:v>-93.7</x:v>
      </x:c>
      <x:c r="L15" s="40" t="n">
        <x:f>L13-L14</x:f>
        <x:v>-117.91999999999996</x:v>
      </x:c>
      <x:c r="M15" s="40" t="n">
        <x:f>M13-M14</x:f>
        <x:v>-169.57999999999998</x:v>
      </x:c>
      <x:c r="N15" s="40" t="n">
        <x:f>SUM(B15:M15)</x:f>
        <x:v>-1211.8899999999999</x:v>
      </x:c>
    </x:row>
    <x:row r="16">
      <x:c r="A16" t="str">
        <x:v>Tax</x:v>
      </x:c>
      <x:c r="B16" s="40" t="n">
        <x:f>MAX(0,B15*0.25)</x:f>
        <x:v>0</x:v>
      </x:c>
      <x:c r="C16" s="40" t="n">
        <x:f>MAX(0,C15*0.25)</x:f>
        <x:v>0</x:v>
      </x:c>
      <x:c r="D16" s="40" t="n">
        <x:f>MAX(0,D15*0.25)</x:f>
        <x:v>0</x:v>
      </x:c>
      <x:c r="E16" s="40" t="n">
        <x:f>MAX(0,E15*0.25)</x:f>
        <x:v>0</x:v>
      </x:c>
      <x:c r="F16" s="40" t="n">
        <x:f>MAX(0,F15*0.25)</x:f>
        <x:v>0</x:v>
      </x:c>
      <x:c r="G16" s="40" t="n">
        <x:f>MAX(0,G15*0.25)</x:f>
        <x:v>0</x:v>
      </x:c>
      <x:c r="H16" s="40" t="n">
        <x:f>MAX(0,H15*0.25)</x:f>
        <x:v>0</x:v>
      </x:c>
      <x:c r="I16" s="40" t="n">
        <x:f>MAX(0,I15*0.25)</x:f>
        <x:v>0</x:v>
      </x:c>
      <x:c r="J16" s="40" t="n">
        <x:f>MAX(0,J15*0.25)</x:f>
        <x:v>0</x:v>
      </x:c>
      <x:c r="K16" s="40" t="n">
        <x:f>MAX(0,K15*0.25)</x:f>
        <x:v>0</x:v>
      </x:c>
      <x:c r="L16" s="40" t="n">
        <x:f>MAX(0,L15*0.25)</x:f>
        <x:v>0</x:v>
      </x:c>
      <x:c r="M16" s="40" t="n">
        <x:f>MAX(0,M15*0.25)</x:f>
        <x:v>0</x:v>
      </x:c>
      <x:c r="N16" s="40" t="n">
        <x:f>SUM(B16:M16)</x:f>
        <x:v>0</x:v>
      </x:c>
    </x:row>
    <x:row r="17">
      <x:c r="A17" t="str">
        <x:v>Net Profit</x:v>
      </x:c>
      <x:c r="B17" s="40" t="n">
        <x:f>B15-B16</x:f>
        <x:v>-103.75</x:v>
      </x:c>
      <x:c r="C17" s="40" t="n">
        <x:f>C15-C16</x:f>
        <x:v>-99.49999999999993</x:v>
      </x:c>
      <x:c r="D17" s="40" t="n">
        <x:f>D15-D16</x:f>
        <x:v>-89.33000000000001</x:v>
      </x:c>
      <x:c r="E17" s="40" t="n">
        <x:f>E15-E16</x:f>
        <x:v>-91.69999999999996</x:v>
      </x:c>
      <x:c r="F17" s="40" t="n">
        <x:f>F15-F16</x:f>
        <x:v>-83.59999999999998</x:v>
      </x:c>
      <x:c r="G17" s="40" t="n">
        <x:f>G15-G16</x:f>
        <x:v>-83.45000000000005</x:v>
      </x:c>
      <x:c r="H17" s="40" t="n">
        <x:f>H15-H16</x:f>
        <x:v>-88.10000000000007</x:v>
      </x:c>
      <x:c r="I17" s="40" t="n">
        <x:f>I15-I16</x:f>
        <x:v>-98.4599999999999</x:v>
      </x:c>
      <x:c r="J17" s="40" t="n">
        <x:f>J15-J16</x:f>
        <x:v>-92.79999999999998</x:v>
      </x:c>
      <x:c r="K17" s="40" t="n">
        <x:f>K15-K16</x:f>
        <x:v>-93.7</x:v>
      </x:c>
      <x:c r="L17" s="40" t="n">
        <x:f>L15-L16</x:f>
        <x:v>-117.91999999999996</x:v>
      </x:c>
      <x:c r="M17" s="40" t="n">
        <x:f>M15-M16</x:f>
        <x:v>-169.57999999999998</x:v>
      </x:c>
      <x:c r="N17" s="40" t="n">
        <x:f>SUM(B17:M17)</x:f>
        <x:v>-1211.8899999999999</x:v>
      </x:c>
    </x:row>
    <x:row r="20">
      <x:c r="A20" s="44" t="str">
        <x:v>Balance Sheet KPIs / Working Capital</x:v>
      </x:c>
      <x:c r="B20" s="44" t="str"/>
      <x:c r="C20" s="44" t="str"/>
      <x:c r="D20" s="44" t="str"/>
      <x:c r="E20" s="44" t="str"/>
      <x:c r="F20" s="44" t="str"/>
      <x:c r="G20" s="44" t="str"/>
      <x:c r="H20" s="44" t="str"/>
      <x:c r="I20" s="44" t="str"/>
      <x:c r="J20" s="44" t="str"/>
      <x:c r="K20" s="44" t="str"/>
      <x:c r="L20" s="44" t="str"/>
      <x:c r="M20" s="44" t="str"/>
      <x:c r="N20" s="44" t="str"/>
    </x:row>
    <x:row r="21">
      <x:c r="A21" t="str">
        <x:v>Trade Receivables (£000)</x:v>
      </x:c>
      <x:c r="B21" s="38" t="n">
        <x:v>2100</x:v>
      </x:c>
      <x:c r="C21" s="38" t="n">
        <x:v>2180</x:v>
      </x:c>
      <x:c r="D21" s="38" t="n">
        <x:v>2250</x:v>
      </x:c>
      <x:c r="E21" s="38" t="n">
        <x:v>2360</x:v>
      </x:c>
      <x:c r="F21" s="38" t="n">
        <x:v>2440</x:v>
      </x:c>
      <x:c r="G21" s="38" t="n">
        <x:v>2530</x:v>
      </x:c>
      <x:c r="H21" s="38" t="n">
        <x:v>2610</x:v>
      </x:c>
      <x:c r="I21" s="38" t="n">
        <x:v>2740</x:v>
      </x:c>
      <x:c r="J21" s="38" t="n">
        <x:v>2850</x:v>
      </x:c>
      <x:c r="K21" s="38" t="n">
        <x:v>2960</x:v>
      </x:c>
      <x:c r="L21" s="38" t="n">
        <x:v>3090</x:v>
      </x:c>
      <x:c r="M21" s="38" t="n">
        <x:v>3215</x:v>
      </x:c>
      <x:c r="N21" s="48" t="n">
        <x:f>M21</x:f>
        <x:v>3215</x:v>
      </x:c>
    </x:row>
    <x:row r="22">
      <x:c r="A22" t="str">
        <x:v>Inventory (£000)</x:v>
      </x:c>
      <x:c r="B22" s="38" t="n">
        <x:v>1520</x:v>
      </x:c>
      <x:c r="C22" s="38" t="n">
        <x:v>1540</x:v>
      </x:c>
      <x:c r="D22" s="38" t="n">
        <x:v>1580</x:v>
      </x:c>
      <x:c r="E22" s="38" t="n">
        <x:v>1620</x:v>
      </x:c>
      <x:c r="F22" s="38" t="n">
        <x:v>1680</x:v>
      </x:c>
      <x:c r="G22" s="38" t="n">
        <x:v>1740</x:v>
      </x:c>
      <x:c r="H22" s="38" t="n">
        <x:v>1790</x:v>
      </x:c>
      <x:c r="I22" s="38" t="n">
        <x:v>1850</x:v>
      </x:c>
      <x:c r="J22" s="38" t="n">
        <x:v>1910</x:v>
      </x:c>
      <x:c r="K22" s="38" t="n">
        <x:v>1980</x:v>
      </x:c>
      <x:c r="L22" s="38" t="n">
        <x:v>2070</x:v>
      </x:c>
      <x:c r="M22" s="38" t="n">
        <x:v>2180</x:v>
      </x:c>
      <x:c r="N22" s="48" t="n">
        <x:f>M22</x:f>
        <x:v>2180</x:v>
      </x:c>
    </x:row>
    <x:row r="23">
      <x:c r="A23" t="str">
        <x:v>Trade Payables (£000)</x:v>
      </x:c>
      <x:c r="B23" s="38" t="n">
        <x:v>1250</x:v>
      </x:c>
      <x:c r="C23" s="38" t="n">
        <x:v>1280</x:v>
      </x:c>
      <x:c r="D23" s="38" t="n">
        <x:v>1310</x:v>
      </x:c>
      <x:c r="E23" s="38" t="n">
        <x:v>1340</x:v>
      </x:c>
      <x:c r="F23" s="38" t="n">
        <x:v>1370</x:v>
      </x:c>
      <x:c r="G23" s="38" t="n">
        <x:v>1400</x:v>
      </x:c>
      <x:c r="H23" s="38" t="n">
        <x:v>1430</x:v>
      </x:c>
      <x:c r="I23" s="38" t="n">
        <x:v>1460</x:v>
      </x:c>
      <x:c r="J23" s="38" t="n">
        <x:v>1490</x:v>
      </x:c>
      <x:c r="K23" s="38" t="n">
        <x:v>1520</x:v>
      </x:c>
      <x:c r="L23" s="38" t="n">
        <x:v>1550</x:v>
      </x:c>
      <x:c r="M23" s="38" t="n">
        <x:v>1580</x:v>
      </x:c>
      <x:c r="N23" s="48" t="n">
        <x:f>M23</x:f>
        <x:v>1580</x:v>
      </x:c>
    </x:row>
    <x:row r="24">
      <x:c r="A24" t="str">
        <x:v>Net Bank Debt (£000)</x:v>
      </x:c>
      <x:c r="B24" s="38" t="n">
        <x:v>1750</x:v>
      </x:c>
      <x:c r="C24" s="38" t="n">
        <x:v>1790</x:v>
      </x:c>
      <x:c r="D24" s="38" t="n">
        <x:v>1820</x:v>
      </x:c>
      <x:c r="E24" s="38" t="n">
        <x:v>1880</x:v>
      </x:c>
      <x:c r="F24" s="38" t="n">
        <x:v>1950</x:v>
      </x:c>
      <x:c r="G24" s="38" t="n">
        <x:v>2030</x:v>
      </x:c>
      <x:c r="H24" s="38" t="n">
        <x:v>2110</x:v>
      </x:c>
      <x:c r="I24" s="38" t="n">
        <x:v>2200</x:v>
      </x:c>
      <x:c r="J24" s="38" t="n">
        <x:v>2300</x:v>
      </x:c>
      <x:c r="K24" s="38" t="n">
        <x:v>2410</x:v>
      </x:c>
      <x:c r="L24" s="38" t="n">
        <x:v>2530</x:v>
      </x:c>
      <x:c r="M24" s="38" t="n">
        <x:v>2660</x:v>
      </x:c>
      <x:c r="N24" s="48" t="n">
        <x:f>M24</x:f>
        <x:v>2660</x:v>
      </x:c>
    </x:row>
  </x:sheetData>
  <x:mergeCells>
    <x:mergeCell ref="A1:N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1.12999725341797" hidden="0" customWidth="1"/>
    <x:col min="2" max="2" width="30" hidden="0" customWidth="1"/>
    <x:col min="3" max="3" width="15.25" hidden="0" customWidth="1"/>
    <x:col min="4" max="4" width="8" hidden="0" customWidth="1"/>
    <x:col min="5" max="5" width="8" hidden="0" customWidth="1"/>
    <x:col min="6" max="6" width="26" hidden="0" customWidth="1"/>
    <x:col min="7" max="7" width="45" hidden="0" customWidth="1"/>
  </x:cols>
  <x:sheetData>
    <x:row r="1" ht="28" customHeight="1">
      <x:c r="A1" s="3" t="str">
        <x:v>Trial Balance – Scenario 2 (Contains Deliberate Data / Control Anomalies)</x:v>
      </x:c>
    </x:row>
    <x:row r="3">
      <x:c r="A3" s="9" t="str">
        <x:v>Code</x:v>
      </x:c>
      <x:c r="B3" s="9" t="str">
        <x:v>Account</x:v>
      </x:c>
      <x:c r="C3" s="9" t="str">
        <x:v>Category</x:v>
      </x:c>
      <x:c r="D3" s="9" t="str">
        <x:v>Debit (£)</x:v>
      </x:c>
      <x:c r="E3" s="9" t="str">
        <x:v>Credit (£)</x:v>
      </x:c>
      <x:c r="F3" s="9" t="str">
        <x:v>Expected Reconciliation</x:v>
      </x:c>
      <x:c r="G3" s="9" t="str">
        <x:v>Issue Note</x:v>
      </x:c>
    </x:row>
    <x:row r="4">
      <x:c r="A4" s="14" t="str">
        <x:v>1000</x:v>
      </x:c>
      <x:c r="B4" s="14" t="str">
        <x:v>Freehold Property</x:v>
      </x:c>
      <x:c r="C4" s="14" t="str">
        <x:v>Fixed Assets</x:v>
      </x:c>
      <x:c r="D4" s="16" t="n">
        <x:v>1900000</x:v>
      </x:c>
      <x:c r="E4" s="16" t="n">
        <x:v>0</x:v>
      </x:c>
      <x:c r="F4" s="14" t="str"/>
      <x:c r="G4" s="14" t="str"/>
    </x:row>
    <x:row r="5">
      <x:c r="A5" s="14" t="str">
        <x:v>1100</x:v>
      </x:c>
      <x:c r="B5" s="14" t="str">
        <x:v>Plant &amp; Machinery</x:v>
      </x:c>
      <x:c r="C5" s="14" t="str">
        <x:v>Fixed Assets</x:v>
      </x:c>
      <x:c r="D5" s="16" t="n">
        <x:v>2850000</x:v>
      </x:c>
      <x:c r="E5" s="16" t="n">
        <x:v>0</x:v>
      </x:c>
      <x:c r="F5" s="14" t="str"/>
      <x:c r="G5" s="14" t="str"/>
    </x:row>
    <x:row r="6">
      <x:c r="A6" s="14" t="str">
        <x:v>1200</x:v>
      </x:c>
      <x:c r="B6" s="14" t="str">
        <x:v>Fixtures / IT</x:v>
      </x:c>
      <x:c r="C6" s="14" t="str">
        <x:v>Fixed Assets</x:v>
      </x:c>
      <x:c r="D6" s="16" t="n">
        <x:v>410000</x:v>
      </x:c>
      <x:c r="E6" s="16" t="n">
        <x:v>0</x:v>
      </x:c>
      <x:c r="F6" s="14" t="str"/>
      <x:c r="G6" s="14" t="str"/>
    </x:row>
    <x:row r="7">
      <x:c r="A7" s="14" t="str">
        <x:v>1300</x:v>
      </x:c>
      <x:c r="B7" s="14" t="str">
        <x:v>Accumulated Depreciation</x:v>
      </x:c>
      <x:c r="C7" s="14" t="str">
        <x:v>Fixed Assets</x:v>
      </x:c>
      <x:c r="D7" s="16" t="n">
        <x:v>0</x:v>
      </x:c>
      <x:c r="E7" s="16" t="n">
        <x:v>1610000</x:v>
      </x:c>
      <x:c r="F7" s="14" t="str"/>
      <x:c r="G7" s="14" t="str"/>
    </x:row>
    <x:row r="8">
      <x:c r="A8" s="14" t="str">
        <x:v>2000</x:v>
      </x:c>
      <x:c r="B8" s="14" t="str">
        <x:v>Inventory – Raw Materials</x:v>
      </x:c>
      <x:c r="C8" s="14" t="str">
        <x:v>Current Assets</x:v>
      </x:c>
      <x:c r="D8" s="16" t="n">
        <x:v>880000</x:v>
      </x:c>
      <x:c r="E8" s="16" t="n">
        <x:v>0</x:v>
      </x:c>
      <x:c r="F8" s="14" t="str"/>
      <x:c r="G8" s="14" t="str"/>
    </x:row>
    <x:row r="9">
      <x:c r="A9" s="14" t="str">
        <x:v>2010</x:v>
      </x:c>
      <x:c r="B9" s="14" t="str">
        <x:v>Inventory – WIP</x:v>
      </x:c>
      <x:c r="C9" s="14" t="str">
        <x:v>Current Assets</x:v>
      </x:c>
      <x:c r="D9" s="16" t="n">
        <x:v>610000</x:v>
      </x:c>
      <x:c r="E9" s="16" t="n">
        <x:v>0</x:v>
      </x:c>
      <x:c r="F9" s="14" t="str"/>
      <x:c r="G9" s="14" t="str"/>
    </x:row>
    <x:row r="10">
      <x:c r="A10" s="14" t="str">
        <x:v>2020</x:v>
      </x:c>
      <x:c r="B10" s="14" t="str">
        <x:v>Inventory – Finished Goods</x:v>
      </x:c>
      <x:c r="C10" s="14" t="str">
        <x:v>Current Assets</x:v>
      </x:c>
      <x:c r="D10" s="16" t="n">
        <x:v>810000</x:v>
      </x:c>
      <x:c r="E10" s="16" t="n">
        <x:v>0</x:v>
      </x:c>
      <x:c r="F10" s="14" t="str">
        <x:v>Operational inventory: £2.18m</x:v>
      </x:c>
      <x:c r="G10" s="14" t="str">
        <x:v>GL is £120k higher than operational stock report</x:v>
      </x:c>
    </x:row>
    <x:row r="11">
      <x:c r="A11" s="14" t="str">
        <x:v>2100</x:v>
      </x:c>
      <x:c r="B11" s="14" t="str">
        <x:v>Trade Receivables</x:v>
      </x:c>
      <x:c r="C11" s="14" t="str">
        <x:v>Current Assets</x:v>
      </x:c>
      <x:c r="D11" s="16" t="n">
        <x:v>3450000</x:v>
      </x:c>
      <x:c r="E11" s="16" t="n">
        <x:v>0</x:v>
      </x:c>
      <x:c r="F11" s="14" t="str">
        <x:v>Customer AR ledger</x:v>
      </x:c>
      <x:c r="G11" s="14" t="str">
        <x:v>Does not agree to customer subledger</x:v>
      </x:c>
    </x:row>
    <x:row r="12">
      <x:c r="A12" s="14" t="str">
        <x:v>2110</x:v>
      </x:c>
      <x:c r="B12" s="14" t="str">
        <x:v>Bad Debt Provision</x:v>
      </x:c>
      <x:c r="C12" s="14" t="str">
        <x:v>Current Assets</x:v>
      </x:c>
      <x:c r="D12" s="16" t="n">
        <x:v>0</x:v>
      </x:c>
      <x:c r="E12" s="16" t="n">
        <x:v>95000</x:v>
      </x:c>
      <x:c r="F12" s="14" t="str">
        <x:v>Aged debt profile</x:v>
      </x:c>
      <x:c r="G12" s="14" t="str">
        <x:v>Provision may be low given aged balances</x:v>
      </x:c>
    </x:row>
    <x:row r="13">
      <x:c r="A13" s="14" t="str">
        <x:v>2200</x:v>
      </x:c>
      <x:c r="B13" s="14" t="str">
        <x:v>Prepayments / Other Debtors</x:v>
      </x:c>
      <x:c r="C13" s="14" t="str">
        <x:v>Current Assets</x:v>
      </x:c>
      <x:c r="D13" s="16" t="n">
        <x:v>390000</x:v>
      </x:c>
      <x:c r="E13" s="16" t="n">
        <x:v>0</x:v>
      </x:c>
      <x:c r="F13" s="14" t="str"/>
      <x:c r="G13" s="14" t="str">
        <x:v>Unusually high vs prior run-rate</x:v>
      </x:c>
    </x:row>
    <x:row r="14">
      <x:c r="A14" s="14" t="str">
        <x:v>2300</x:v>
      </x:c>
      <x:c r="B14" s="14" t="str">
        <x:v>Cash at Bank</x:v>
      </x:c>
      <x:c r="C14" s="14" t="str">
        <x:v>Current Assets</x:v>
      </x:c>
      <x:c r="D14" s="16" t="n">
        <x:v>95000</x:v>
      </x:c>
      <x:c r="E14" s="16" t="n">
        <x:v>0</x:v>
      </x:c>
      <x:c r="F14" s="14" t="str">
        <x:v>Bank statement</x:v>
      </x:c>
      <x:c r="G14" s="14" t="str">
        <x:v>Low cash relative to reported profit</x:v>
      </x:c>
    </x:row>
    <x:row r="15">
      <x:c r="A15" s="14" t="str">
        <x:v>3000</x:v>
      </x:c>
      <x:c r="B15" s="14" t="str">
        <x:v>Trade Payables</x:v>
      </x:c>
      <x:c r="C15" s="14" t="str">
        <x:v>Current Liabilities</x:v>
      </x:c>
      <x:c r="D15" s="16" t="n">
        <x:v>0</x:v>
      </x:c>
      <x:c r="E15" s="16" t="n">
        <x:v>1710000</x:v>
      </x:c>
      <x:c r="F15" s="14" t="str">
        <x:v>Supplier AP ledger</x:v>
      </x:c>
      <x:c r="G15" s="14" t="str">
        <x:v>Does not agree to supplier subledger</x:v>
      </x:c>
    </x:row>
    <x:row r="16">
      <x:c r="A16" s="14" t="str">
        <x:v>3100</x:v>
      </x:c>
      <x:c r="B16" s="14" t="str">
        <x:v>Accruals</x:v>
      </x:c>
      <x:c r="C16" s="14" t="str">
        <x:v>Current Liabilities</x:v>
      </x:c>
      <x:c r="D16" s="16" t="n">
        <x:v>0</x:v>
      </x:c>
      <x:c r="E16" s="16" t="n">
        <x:v>330000</x:v>
      </x:c>
      <x:c r="F16" s="14" t="str"/>
      <x:c r="G16" s="14" t="str">
        <x:v>Fallen despite higher activity</x:v>
      </x:c>
    </x:row>
    <x:row r="17">
      <x:c r="A17" s="14" t="str">
        <x:v>3200</x:v>
      </x:c>
      <x:c r="B17" s="14" t="str">
        <x:v>VAT / Payroll Taxes</x:v>
      </x:c>
      <x:c r="C17" s="14" t="str">
        <x:v>Current Liabilities</x:v>
      </x:c>
      <x:c r="D17" s="16" t="n">
        <x:v>0</x:v>
      </x:c>
      <x:c r="E17" s="16" t="n">
        <x:v>285000</x:v>
      </x:c>
      <x:c r="F17" s="14" t="str"/>
      <x:c r="G17" s="14" t="str"/>
    </x:row>
    <x:row r="18">
      <x:c r="A18" s="14" t="str">
        <x:v>3300</x:v>
      </x:c>
      <x:c r="B18" s="14" t="str">
        <x:v>Corporation Tax Payable</x:v>
      </x:c>
      <x:c r="C18" s="14" t="str">
        <x:v>Current Liabilities</x:v>
      </x:c>
      <x:c r="D18" s="16" t="n">
        <x:v>0</x:v>
      </x:c>
      <x:c r="E18" s="16" t="n">
        <x:v>120000</x:v>
      </x:c>
      <x:c r="F18" s="14" t="str"/>
      <x:c r="G18" s="14" t="str"/>
    </x:row>
    <x:row r="19">
      <x:c r="A19" s="14" t="str">
        <x:v>4000</x:v>
      </x:c>
      <x:c r="B19" s="14" t="str">
        <x:v>Bank Loan – Term</x:v>
      </x:c>
      <x:c r="C19" s="14" t="str">
        <x:v>Debt</x:v>
      </x:c>
      <x:c r="D19" s="16" t="n">
        <x:v>0</x:v>
      </x:c>
      <x:c r="E19" s="16" t="n">
        <x:v>2050000</x:v>
      </x:c>
      <x:c r="F19" s="14" t="str">
        <x:v>Debt schedule</x:v>
      </x:c>
      <x:c r="G19" s="14" t="str"/>
    </x:row>
    <x:row r="20">
      <x:c r="A20" s="14" t="str">
        <x:v>4010</x:v>
      </x:c>
      <x:c r="B20" s="14" t="str">
        <x:v>Revolving Credit Facility</x:v>
      </x:c>
      <x:c r="C20" s="14" t="str">
        <x:v>Debt</x:v>
      </x:c>
      <x:c r="D20" s="16" t="n">
        <x:v>0</x:v>
      </x:c>
      <x:c r="E20" s="16" t="n">
        <x:v>760000</x:v>
      </x:c>
      <x:c r="F20" s="14" t="str">
        <x:v>Management accounts net debt</x:v>
      </x:c>
      <x:c r="G20" s="14" t="str">
        <x:v>Debt records inconsistent with management accounts</x:v>
      </x:c>
    </x:row>
    <x:row r="21">
      <x:c r="A21" s="14" t="str">
        <x:v>5000</x:v>
      </x:c>
      <x:c r="B21" s="14" t="str">
        <x:v>Share Capital</x:v>
      </x:c>
      <x:c r="C21" s="14" t="str">
        <x:v>Equity</x:v>
      </x:c>
      <x:c r="D21" s="16" t="n">
        <x:v>0</x:v>
      </x:c>
      <x:c r="E21" s="16" t="n">
        <x:v>100000</x:v>
      </x:c>
      <x:c r="F21" s="14" t="str"/>
      <x:c r="G21" s="14" t="str"/>
    </x:row>
    <x:row r="22">
      <x:c r="A22" s="14" t="str">
        <x:v>5100</x:v>
      </x:c>
      <x:c r="B22" s="14" t="str">
        <x:v>Retained Earnings b/f</x:v>
      </x:c>
      <x:c r="C22" s="14" t="str">
        <x:v>Equity</x:v>
      </x:c>
      <x:c r="D22" s="16" t="n">
        <x:v>0</x:v>
      </x:c>
      <x:c r="E22" s="16" t="n">
        <x:v>1950000</x:v>
      </x:c>
      <x:c r="F22" s="14" t="str"/>
      <x:c r="G22" s="14" t="str"/>
    </x:row>
    <x:row r="23">
      <x:c r="A23" s="14" t="str">
        <x:v>6000</x:v>
      </x:c>
      <x:c r="B23" s="14" t="str">
        <x:v>Sales Revenue</x:v>
      </x:c>
      <x:c r="C23" s="14" t="str">
        <x:v>Revenue</x:v>
      </x:c>
      <x:c r="D23" s="16" t="n">
        <x:v>0</x:v>
      </x:c>
      <x:c r="E23" s="16" t="n">
        <x:v>15000000</x:v>
      </x:c>
      <x:c r="F23" s="14" t="str">
        <x:v>Management accounts</x:v>
      </x:c>
      <x:c r="G23" s="14" t="str"/>
    </x:row>
    <x:row r="24">
      <x:c r="A24" s="14" t="str">
        <x:v>6100</x:v>
      </x:c>
      <x:c r="B24" s="14" t="str">
        <x:v>Materials</x:v>
      </x:c>
      <x:c r="C24" s="14" t="str">
        <x:v>Cost of Sales</x:v>
      </x:c>
      <x:c r="D24" s="16" t="n">
        <x:v>5350000</x:v>
      </x:c>
      <x:c r="E24" s="16" t="n">
        <x:v>0</x:v>
      </x:c>
      <x:c r="F24" s="14" t="str"/>
      <x:c r="G24" s="14" t="str"/>
    </x:row>
    <x:row r="25">
      <x:c r="A25" s="14" t="str">
        <x:v>6110</x:v>
      </x:c>
      <x:c r="B25" s="14" t="str">
        <x:v>Direct Labour</x:v>
      </x:c>
      <x:c r="C25" s="14" t="str">
        <x:v>Cost of Sales</x:v>
      </x:c>
      <x:c r="D25" s="16" t="n">
        <x:v>1180000</x:v>
      </x:c>
      <x:c r="E25" s="16" t="n">
        <x:v>0</x:v>
      </x:c>
      <x:c r="F25" s="14" t="str"/>
      <x:c r="G25" s="14" t="str"/>
    </x:row>
    <x:row r="26">
      <x:c r="A26" s="14" t="str">
        <x:v>6120</x:v>
      </x:c>
      <x:c r="B26" s="14" t="str">
        <x:v>Factory Overheads</x:v>
      </x:c>
      <x:c r="C26" s="14" t="str">
        <x:v>Cost of Sales</x:v>
      </x:c>
      <x:c r="D26" s="16" t="n">
        <x:v>2180000</x:v>
      </x:c>
      <x:c r="E26" s="16" t="n">
        <x:v>0</x:v>
      </x:c>
      <x:c r="F26" s="14" t="str"/>
      <x:c r="G26" s="14" t="str"/>
    </x:row>
    <x:row r="27">
      <x:c r="A27" s="14" t="str">
        <x:v>6130</x:v>
      </x:c>
      <x:c r="B27" s="14" t="str">
        <x:v>Freight / Packaging</x:v>
      </x:c>
      <x:c r="C27" s="14" t="str">
        <x:v>Cost of Sales</x:v>
      </x:c>
      <x:c r="D27" s="16" t="n">
        <x:v>980000</x:v>
      </x:c>
      <x:c r="E27" s="16" t="n">
        <x:v>0</x:v>
      </x:c>
      <x:c r="F27" s="14" t="str"/>
      <x:c r="G27" s="14" t="str"/>
    </x:row>
    <x:row r="28">
      <x:c r="A28" s="14" t="str">
        <x:v>7000</x:v>
      </x:c>
      <x:c r="B28" s="14" t="str">
        <x:v>Indirect Staff</x:v>
      </x:c>
      <x:c r="C28" s="14" t="str">
        <x:v>Operating Expenses</x:v>
      </x:c>
      <x:c r="D28" s="16" t="n">
        <x:v>1820000</x:v>
      </x:c>
      <x:c r="E28" s="16" t="n">
        <x:v>0</x:v>
      </x:c>
      <x:c r="F28" s="14" t="str">
        <x:v>Staff cost schedule</x:v>
      </x:c>
      <x:c r="G28" s="14" t="str">
        <x:v>Potential classification / reconciliation difference</x:v>
      </x:c>
    </x:row>
    <x:row r="29">
      <x:c r="A29" s="14" t="str">
        <x:v>7100</x:v>
      </x:c>
      <x:c r="B29" s="14" t="str">
        <x:v>Premises / Utilities</x:v>
      </x:c>
      <x:c r="C29" s="14" t="str">
        <x:v>Operating Expenses</x:v>
      </x:c>
      <x:c r="D29" s="16" t="n">
        <x:v>545000</x:v>
      </x:c>
      <x:c r="E29" s="16" t="n">
        <x:v>0</x:v>
      </x:c>
      <x:c r="F29" s="14" t="str"/>
      <x:c r="G29" s="14" t="str"/>
    </x:row>
    <x:row r="30">
      <x:c r="A30" s="14" t="str">
        <x:v>7200</x:v>
      </x:c>
      <x:c r="B30" s="14" t="str">
        <x:v>Sales / Marketing</x:v>
      </x:c>
      <x:c r="C30" s="14" t="str">
        <x:v>Operating Expenses</x:v>
      </x:c>
      <x:c r="D30" s="16" t="n">
        <x:v>385000</x:v>
      </x:c>
      <x:c r="E30" s="16" t="n">
        <x:v>0</x:v>
      </x:c>
      <x:c r="F30" s="14" t="str"/>
      <x:c r="G30" s="14" t="str"/>
    </x:row>
    <x:row r="31">
      <x:c r="A31" s="14" t="str">
        <x:v>7300</x:v>
      </x:c>
      <x:c r="B31" s="14" t="str">
        <x:v>IT / Professional / Admin</x:v>
      </x:c>
      <x:c r="C31" s="14" t="str">
        <x:v>Operating Expenses</x:v>
      </x:c>
      <x:c r="D31" s="16" t="n">
        <x:v>435000</x:v>
      </x:c>
      <x:c r="E31" s="16" t="n">
        <x:v>0</x:v>
      </x:c>
      <x:c r="F31" s="14" t="str"/>
      <x:c r="G31" s="14" t="str"/>
    </x:row>
    <x:row r="32">
      <x:c r="A32" s="14" t="str">
        <x:v>7400</x:v>
      </x:c>
      <x:c r="B32" s="14" t="str">
        <x:v>Repairs / Other Opex</x:v>
      </x:c>
      <x:c r="C32" s="14" t="str">
        <x:v>Operating Expenses</x:v>
      </x:c>
      <x:c r="D32" s="16" t="n">
        <x:v>415000</x:v>
      </x:c>
      <x:c r="E32" s="16" t="n">
        <x:v>0</x:v>
      </x:c>
      <x:c r="F32" s="14" t="str"/>
      <x:c r="G32" s="14" t="str"/>
    </x:row>
    <x:row r="33">
      <x:c r="A33" s="14" t="str">
        <x:v>7500</x:v>
      </x:c>
      <x:c r="B33" s="14" t="str">
        <x:v>Depreciation Expense</x:v>
      </x:c>
      <x:c r="C33" s="14" t="str">
        <x:v>Operating Expenses</x:v>
      </x:c>
      <x:c r="D33" s="16" t="n">
        <x:v>540000</x:v>
      </x:c>
      <x:c r="E33" s="16" t="n">
        <x:v>0</x:v>
      </x:c>
      <x:c r="F33" s="14" t="str"/>
      <x:c r="G33" s="14" t="str"/>
    </x:row>
    <x:row r="34">
      <x:c r="A34" s="14" t="str">
        <x:v>8000</x:v>
      </x:c>
      <x:c r="B34" s="14" t="str">
        <x:v>Interest Expense</x:v>
      </x:c>
      <x:c r="C34" s="14" t="str">
        <x:v>Finance</x:v>
      </x:c>
      <x:c r="D34" s="16" t="n">
        <x:v>155000</x:v>
      </x:c>
      <x:c r="E34" s="16" t="n">
        <x:v>0</x:v>
      </x:c>
      <x:c r="F34" s="14" t="str">
        <x:v>Debt schedule</x:v>
      </x:c>
      <x:c r="G34" s="14" t="str"/>
    </x:row>
    <x:row r="35">
      <x:c r="A35" s="14" t="str">
        <x:v>8100</x:v>
      </x:c>
      <x:c r="B35" s="14" t="str">
        <x:v>Corporation Tax Expense</x:v>
      </x:c>
      <x:c r="C35" s="14" t="str">
        <x:v>Tax</x:v>
      </x:c>
      <x:c r="D35" s="16" t="n">
        <x:v>120000</x:v>
      </x:c>
      <x:c r="E35" s="16" t="n">
        <x:v>0</x:v>
      </x:c>
      <x:c r="F35" s="14" t="str"/>
      <x:c r="G35" s="14" t="str"/>
    </x:row>
    <x:row r="36">
      <x:c r="A36" s="14" t="str">
        <x:v>5200</x:v>
      </x:c>
      <x:c r="B36" s="14" t="str">
        <x:v>Current Year Profit / TB Balance</x:v>
      </x:c>
      <x:c r="C36" s="14" t="str">
        <x:v>Equity</x:v>
      </x:c>
      <x:c r="D36" s="16" t="n">
        <x:v>0</x:v>
      </x:c>
      <x:c r="E36" s="16" t="n">
        <x:v>1490000</x:v>
      </x:c>
      <x:c r="F36" s="14" t="str"/>
      <x:c r="G36" s="14" t="str">
        <x:v>Theoretical balancing account</x:v>
      </x:c>
    </x:row>
    <x:row r="38">
      <x:c r="A38" s="22" t="str"/>
      <x:c r="B38" s="22" t="str">
        <x:v>TOTAL</x:v>
      </x:c>
      <x:c r="C38" s="22" t="str"/>
      <x:c r="D38" s="23" t="n">
        <x:f>SUM(D4:D36)</x:f>
        <x:v>25500000</x:v>
      </x:c>
      <x:c r="E38" s="23" t="n">
        <x:f>SUM(E4:E36)</x:f>
        <x:v>25500000</x:v>
      </x:c>
      <x:c r="F38" s="22" t="str"/>
      <x:c r="G38" s="22" t="str"/>
    </x:row>
  </x:sheetData>
  <x:mergeCells>
    <x:mergeCell ref="A1:G1"/>
  </x:mergeCells>
  <x:conditionalFormatting sqref="G4:G36">
    <x:cfRule type="expression" dxfId="3" priority="1">
      <x:formula>G4&lt;&gt;""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.630000114440918" hidden="0" customWidth="1"/>
    <x:col min="3" max="3" width="42" hidden="0" customWidth="1"/>
    <x:col min="4" max="4" width="10.880000114440918" hidden="0" customWidth="1"/>
    <x:col min="5" max="5" width="10.130000114440918" hidden="0" customWidth="1"/>
    <x:col min="6" max="6" width="5.25" hidden="0" customWidth="1"/>
    <x:col min="7" max="7" width="44" hidden="0" customWidth="1"/>
  </x:cols>
  <x:sheetData>
    <x:row r="1" ht="28" customHeight="1">
      <x:c r="A1" s="3" t="str">
        <x:v>Control Account &amp; Cross-Schedule Reconciliations</x:v>
      </x:c>
    </x:row>
    <x:row r="3">
      <x:c r="A3" s="9" t="str">
        <x:v>Reconciliation</x:v>
      </x:c>
      <x:c r="B3" s="9" t="str">
        <x:v>GL / Reported (£)</x:v>
      </x:c>
      <x:c r="C3" s="9" t="str">
        <x:v>Subledger / Supporting (£)</x:v>
      </x:c>
      <x:c r="D3" s="9" t="str">
        <x:v>Difference (£)</x:v>
      </x:c>
      <x:c r="E3" s="9" t="str">
        <x:v>Difference %</x:v>
      </x:c>
      <x:c r="F3" s="9" t="str">
        <x:v>Status</x:v>
      </x:c>
      <x:c r="G3" s="9" t="str">
        <x:v>Diagnostic Comment</x:v>
      </x:c>
    </x:row>
    <x:row r="4">
      <x:c r="A4" t="str">
        <x:v>Trade Receivables</x:v>
      </x:c>
      <x:c r="B4" s="50" t="n">
        <x:f>'Trial Balance'!D11</x:f>
        <x:v>3450000</x:v>
      </x:c>
      <x:c r="C4" s="50" t="n">
        <x:f>'AR Customer Ledger'!D31</x:f>
        <x:v>2467194</x:v>
      </x:c>
      <x:c r="D4" s="50" t="n">
        <x:f>B4-C4</x:f>
        <x:v>982806</x:v>
      </x:c>
      <x:c r="E4" s="52" t="n">
        <x:f>D4/B4</x:f>
        <x:v>0.2848713043478261</x:v>
      </x:c>
      <x:c r="F4" s="46" t="str">
        <x:f>IF(ABS(D4)&gt;1000,"FAIL","OK")</x:f>
        <x:v>FAIL</x:v>
      </x:c>
      <x:c r="G4" t="str">
        <x:v>TB AR should agree to customer ledger</x:v>
      </x:c>
    </x:row>
    <x:row r="5">
      <x:c r="A5" t="str">
        <x:v>Trade Payables</x:v>
      </x:c>
      <x:c r="B5" s="50" t="n">
        <x:f>'Trial Balance'!E15</x:f>
        <x:v>1710000</x:v>
      </x:c>
      <x:c r="C5" s="50" t="n">
        <x:f>'AP Supplier Ledger'!C20</x:f>
        <x:v>1989000</x:v>
      </x:c>
      <x:c r="D5" s="50" t="n">
        <x:f>B5-C5</x:f>
        <x:v>-279000</x:v>
      </x:c>
      <x:c r="E5" s="52" t="n">
        <x:f>D5/B5</x:f>
        <x:v>-0.1631578947368421</x:v>
      </x:c>
      <x:c r="F5" s="46" t="str">
        <x:f>IF(ABS(D5)&gt;1000,"FAIL","OK")</x:f>
        <x:v>FAIL</x:v>
      </x:c>
      <x:c r="G5" t="str">
        <x:v>TB AP should agree to supplier ledger</x:v>
      </x:c>
    </x:row>
    <x:row r="6">
      <x:c r="A6" t="str">
        <x:v>Inventory</x:v>
      </x:c>
      <x:c r="B6" s="50" t="n">
        <x:f>SUM('Trial Balance'!D7:D9)</x:f>
        <x:v>1490000</x:v>
      </x:c>
      <x:c r="C6" s="50" t="n">
        <x:f>'Management Accounts'!N22*1000</x:f>
        <x:v>2180000</x:v>
      </x:c>
      <x:c r="D6" s="50" t="n">
        <x:f>B6-C6</x:f>
        <x:v>-690000</x:v>
      </x:c>
      <x:c r="E6" s="52" t="n">
        <x:f>D6/B6</x:f>
        <x:v>-0.46308724832214765</x:v>
      </x:c>
      <x:c r="F6" s="46" t="str">
        <x:f>IF(ABS(D6)&gt;1000,"FAIL","OK")</x:f>
        <x:v>FAIL</x:v>
      </x:c>
      <x:c r="G6" t="str">
        <x:v>GL inventory vs management stock report</x:v>
      </x:c>
    </x:row>
    <x:row r="7">
      <x:c r="A7" t="str">
        <x:v>Bank Debt</x:v>
      </x:c>
      <x:c r="B7" s="50" t="n">
        <x:f>SUM('Trial Balance'!E20:E21)</x:f>
        <x:v>860000</x:v>
      </x:c>
      <x:c r="C7" s="50" t="n">
        <x:f>'Management Accounts'!N24*1000</x:f>
        <x:v>2660000</x:v>
      </x:c>
      <x:c r="D7" s="50" t="n">
        <x:f>B7-C7</x:f>
        <x:v>-1800000</x:v>
      </x:c>
      <x:c r="E7" s="52" t="n">
        <x:f>D7/B7</x:f>
        <x:v>-2.0930232558139537</x:v>
      </x:c>
      <x:c r="F7" s="46" t="str">
        <x:f>IF(ABS(D7)&gt;1000,"FAIL","OK")</x:f>
        <x:v>FAIL</x:v>
      </x:c>
      <x:c r="G7" t="str">
        <x:v>Debt ledger vs management accounts</x:v>
      </x:c>
    </x:row>
    <x:row r="8">
      <x:c r="A8" t="str">
        <x:v>Annual Revenue</x:v>
      </x:c>
      <x:c r="B8" s="50" t="n">
        <x:f>'Trial Balance'!E23</x:f>
        <x:v>15000000</x:v>
      </x:c>
      <x:c r="C8" s="50" t="n">
        <x:f>'Management Accounts'!N4*1000</x:f>
        <x:v>15000000</x:v>
      </x:c>
      <x:c r="D8" s="50" t="n">
        <x:f>B8-C8</x:f>
        <x:v>0</x:v>
      </x:c>
      <x:c r="E8" s="52" t="n">
        <x:f>D8/B8</x:f>
        <x:v>0</x:v>
      </x:c>
      <x:c r="F8" s="46" t="str">
        <x:f>IF(ABS(D8)&gt;1000,"FAIL","OK")</x:f>
        <x:v>OK</x:v>
      </x:c>
      <x:c r="G8" t="str">
        <x:v>P&amp;L revenue cross-check</x:v>
      </x:c>
    </x:row>
    <x:row r="11">
      <x:c r="A11" s="44" t="str">
        <x:v>Additional Balance Sheet Analytics</x:v>
      </x:c>
      <x:c r="B11" s="44" t="str"/>
      <x:c r="C11" s="44" t="str"/>
      <x:c r="D11" s="44" t="str"/>
      <x:c r="E11" s="44" t="str"/>
      <x:c r="F11" s="44" t="str"/>
      <x:c r="G11" s="44" t="str"/>
    </x:row>
    <x:row r="12">
      <x:c r="A12" s="9" t="str">
        <x:v>Test</x:v>
      </x:c>
      <x:c r="B12" s="9" t="str">
        <x:v>Metric</x:v>
      </x:c>
      <x:c r="C12" s="9" t="str">
        <x:v>Diagnostic</x:v>
      </x:c>
    </x:row>
    <x:row r="13">
      <x:c r="A13" t="str">
        <x:v>Bad debt provision / AR</x:v>
      </x:c>
      <x:c r="B13" s="52" t="n">
        <x:f>'Trial Balance'!E12/'Trial Balance'!D11</x:f>
        <x:v>0.02753623188405797</x:v>
      </x:c>
      <x:c r="C13" t="str">
        <x:v>Low relative to aged AR if &lt;5%</x:v>
      </x:c>
    </x:row>
    <x:row r="14">
      <x:c r="A14" t="str">
        <x:v>Other debtors / revenue</x:v>
      </x:c>
      <x:c r="B14" s="52" t="n">
        <x:f>'Trial Balance'!D13/'Trial Balance'!E23</x:f>
        <x:v>0.026</x:v>
      </x:c>
      <x:c r="C14" t="str">
        <x:v>Potential classification / recoverability issue if unusually high</x:v>
      </x:c>
    </x:row>
    <x:row r="15">
      <x:c r="A15" t="str">
        <x:v>Accruals / monthly opex</x:v>
      </x:c>
      <x:c r="B15" s="52" t="n">
        <x:f>'Trial Balance'!E16/(('Management Accounts'!N8+'Management Accounts'!N9)*1000/12)</x:f>
        <x:v>0.7665505226480837</x:v>
      </x:c>
      <x:c r="C15" t="str">
        <x:v>Potential cut-off issue if low</x:v>
      </x:c>
    </x:row>
    <x:row r="16">
      <x:c r="A16" t="str">
        <x:v>Cash / bank debt</x:v>
      </x:c>
      <x:c r="B16" s="52" t="n">
        <x:f>'Trial Balance'!D14/SUM('Trial Balance'!E20:E21)</x:f>
        <x:v>0.11046511627906977</x:v>
      </x:c>
      <x:c r="C16" t="str">
        <x:v>Liquidity pressure indicator</x:v>
      </x:c>
    </x:row>
  </x:sheetData>
  <x:mergeCells>
    <x:mergeCell ref="A1:G1"/>
  </x:mergeCells>
  <x:conditionalFormatting sqref="F4:F8">
    <x:cfRule type="expression" dxfId="4" priority="1">
      <x:formula>F4="FAIL"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48" hidden="0" customWidth="1"/>
    <x:col min="4" max="4" width="17.75" hidden="0" customWidth="1"/>
  </x:cols>
  <x:sheetData>
    <x:row r="1" ht="28" customHeight="1">
      <x:c r="A1" s="3" t="str">
        <x:v>Scenario 2 – Executive Overview &amp; Embedded Data Quality Issues</x:v>
      </x:c>
    </x:row>
    <x:row r="3">
      <x:c r="A3" s="9" t="str">
        <x:v>Metric</x:v>
      </x:c>
      <x:c r="B3" s="9" t="str">
        <x:v>Value</x:v>
      </x:c>
      <x:c r="C3" s="9" t="str">
        <x:v>Signal</x:v>
      </x:c>
      <x:c r="D3" s="9" t="str">
        <x:v>Source</x:v>
      </x:c>
    </x:row>
    <x:row r="4">
      <x:c r="A4" t="str">
        <x:v>Revenue (£m)</x:v>
      </x:c>
      <x:c r="B4" s="54" t="n">
        <x:f>'Management Accounts'!N4/1000</x:f>
        <x:v>15</x:v>
      </x:c>
      <x:c r="C4" t="str">
        <x:v>Scale</x:v>
      </x:c>
      <x:c r="D4" t="str">
        <x:v>Management Accounts</x:v>
      </x:c>
    </x:row>
    <x:row r="5">
      <x:c r="A5" t="str">
        <x:v>FY Gross Margin</x:v>
      </x:c>
      <x:c r="B5" s="52" t="n">
        <x:f>'Management Accounts'!N7</x:f>
        <x:v>0.3097273333333334</x:v>
      </x:c>
      <x:c r="C5" t="str">
        <x:v>Deteriorating through year</x:v>
      </x:c>
      <x:c r="D5" t="str">
        <x:v>Management Accounts</x:v>
      </x:c>
    </x:row>
    <x:row r="6">
      <x:c r="A6" t="str">
        <x:v>Year-end AR (£m)</x:v>
      </x:c>
      <x:c r="B6" s="54" t="n">
        <x:f>'Management Accounts'!N21/1000</x:f>
        <x:v>3.215</x:v>
      </x:c>
      <x:c r="C6" t="str">
        <x:v>Working capital pressure</x:v>
      </x:c>
      <x:c r="D6" t="str">
        <x:v>Management Accounts</x:v>
      </x:c>
    </x:row>
    <x:row r="7">
      <x:c r="A7" t="str">
        <x:v>TB vs AR Ledger Difference (£000)</x:v>
      </x:c>
      <x:c r="B7" s="54" t="n">
        <x:f>Reconciliations!D4/1000</x:f>
        <x:v>982.806</x:v>
      </x:c>
      <x:c r="C7" t="str">
        <x:v>CONTROL FAILURE</x:v>
      </x:c>
      <x:c r="D7" t="str">
        <x:v>Reconciliations</x:v>
      </x:c>
    </x:row>
    <x:row r="8">
      <x:c r="A8" t="str">
        <x:v>TB vs AP Ledger Difference (£000)</x:v>
      </x:c>
      <x:c r="B8" s="54" t="n">
        <x:f>Reconciliations!D5/1000</x:f>
        <x:v>-279</x:v>
      </x:c>
      <x:c r="C8" t="str">
        <x:v>CONTROL FAILURE</x:v>
      </x:c>
      <x:c r="D8" t="str">
        <x:v>Reconciliations</x:v>
      </x:c>
    </x:row>
    <x:row r="9">
      <x:c r="A9" t="str">
        <x:v>Inventory Difference (£000)</x:v>
      </x:c>
      <x:c r="B9" s="54" t="n">
        <x:f>Reconciliations!D6/1000</x:f>
        <x:v>-690</x:v>
      </x:c>
      <x:c r="C9" t="str">
        <x:v>CONTROL FAILURE</x:v>
      </x:c>
      <x:c r="D9" t="str">
        <x:v>Reconciliations</x:v>
      </x:c>
    </x:row>
    <x:row r="10">
      <x:c r="A10" t="str">
        <x:v>Debt Difference (£000)</x:v>
      </x:c>
      <x:c r="B10" s="54" t="n">
        <x:f>Reconciliations!D7/1000</x:f>
        <x:v>-1800</x:v>
      </x:c>
      <x:c r="C10" t="str">
        <x:v>CONTROL FAILURE</x:v>
      </x:c>
      <x:c r="D10" t="str">
        <x:v>Reconciliations</x:v>
      </x:c>
    </x:row>
    <x:row r="11">
      <x:c r="A11" t="str">
        <x:v>Low-margin customer sales (£m)</x:v>
      </x:c>
      <x:c r="B11" s="54" t="n">
        <x:f>SUMIF('AR Customer Ledger'!C4:C29,"&lt;0.25",'AR Customer Ledger'!B4:B29)/1000000</x:f>
        <x:v>4.288</x:v>
      </x:c>
      <x:c r="C11" t="str">
        <x:v>Margin leakage</x:v>
      </x:c>
      <x:c r="D11" t="str">
        <x:v>AR Customer Ledger</x:v>
      </x:c>
    </x:row>
    <x:row r="12">
      <x:c r="A12" t="str">
        <x:v>Customers &gt;60 debtor days</x:v>
      </x:c>
      <x:c r="B12" s="46" t="n">
        <x:f>COUNTIF('AR Customer Ledger'!E4:E29,"&gt;60")</x:f>
        <x:v>10</x:v>
      </x:c>
      <x:c r="C12" t="str">
        <x:v>Collections problem</x:v>
      </x:c>
      <x:c r="D12" t="str">
        <x:v>AR Customer Ledger</x:v>
      </x:c>
    </x:row>
    <x:row r="13">
      <x:c r="A13" t="str">
        <x:v>Staff Cost (£m)</x:v>
      </x:c>
      <x:c r="B13" s="54" t="n">
        <x:f>'Staff Costs'!I30/1000000</x:f>
        <x:v>2.014602</x:v>
      </x:c>
      <x:c r="C13" t="str">
        <x:v>Cost base</x:v>
      </x:c>
      <x:c r="D13" t="str">
        <x:v>Staff Costs</x:v>
      </x:c>
    </x:row>
    <x:row r="16">
      <x:c r="A16" s="44" t="str">
        <x:v>Deliberately Embedded Issues for Diagnostic Testing</x:v>
      </x:c>
      <x:c r="B16" s="44" t="str"/>
      <x:c r="C16" s="44" t="str"/>
      <x:c r="D16" s="44" t="str"/>
      <x:c r="E16" s="44" t="str"/>
      <x:c r="F16" s="44" t="str"/>
      <x:c r="G16" s="44" t="str"/>
      <x:c r="H16" s="44" t="str"/>
    </x:row>
    <x:row r="17">
      <x:c r="A17" s="9" t="str">
        <x:v>Issue</x:v>
      </x:c>
      <x:c r="B17" s="9" t="str">
        <x:v>What looks wrong</x:v>
      </x:c>
      <x:c r="C17" s="9" t="str">
        <x:v>Why it matters</x:v>
      </x:c>
    </x:row>
    <x:row r="18">
      <x:c r="A18" t="str">
        <x:v>AR control account mismatch</x:v>
      </x:c>
      <x:c r="B18" t="str">
        <x:v>TB receivables do not match the detailed customer ledger.</x:v>
      </x:c>
      <x:c r="C18" t="str">
        <x:v>Tests reconciliation / control-account detection.</x:v>
      </x:c>
    </x:row>
    <x:row r="19">
      <x:c r="A19" t="str">
        <x:v>AP control account mismatch</x:v>
      </x:c>
      <x:c r="B19" t="str">
        <x:v>TB payables do not match supplier ledger.</x:v>
      </x:c>
      <x:c r="C19" t="str">
        <x:v>Tests creditor reconciliation.</x:v>
      </x:c>
    </x:row>
    <x:row r="20">
      <x:c r="A20" t="str">
        <x:v>Inventory mismatch</x:v>
      </x:c>
      <x:c r="B20" t="str">
        <x:v>TB stock is above management stock report.</x:v>
      </x:c>
      <x:c r="C20" t="str">
        <x:v>Tests balance sheet substantiation.</x:v>
      </x:c>
    </x:row>
    <x:row r="21">
      <x:c r="A21" t="str">
        <x:v>Debt inconsistency</x:v>
      </x:c>
      <x:c r="B21" t="str">
        <x:v>TB debt does not match management accounts.</x:v>
      </x:c>
      <x:c r="C21" t="str">
        <x:v>Tests cross-report consistency.</x:v>
      </x:c>
    </x:row>
    <x:row r="22">
      <x:c r="A22" t="str">
        <x:v>Weak bad debt provision</x:v>
      </x:c>
      <x:c r="B22" t="str">
        <x:v>Provision looks light relative to aged receivables.</x:v>
      </x:c>
      <x:c r="C22" t="str">
        <x:v>Tests accounting estimate / risk detection.</x:v>
      </x:c>
    </x:row>
    <x:row r="23">
      <x:c r="A23" t="str">
        <x:v>High other debtors</x:v>
      </x:c>
      <x:c r="B23" t="str">
        <x:v>Other debtors / prepayments appear elevated.</x:v>
      </x:c>
      <x:c r="C23" t="str">
        <x:v>Tests unusual balance identification.</x:v>
      </x:c>
    </x:row>
    <x:row r="24">
      <x:c r="A24" t="str">
        <x:v>Accrual concern</x:v>
      </x:c>
      <x:c r="B24" t="str">
        <x:v>Accrual balance is low relative to operating activity.</x:v>
      </x:c>
      <x:c r="C24" t="str">
        <x:v>Tests cut-off / completeness challenge.</x:v>
      </x:c>
    </x:row>
    <x:row r="25">
      <x:c r="A25" t="str">
        <x:v>Margin deterioration</x:v>
      </x:c>
      <x:c r="B25" t="str">
        <x:v>Monthly gross margin declines materially through the year.</x:v>
      </x:c>
      <x:c r="C25" t="str">
        <x:v>Tests trend analysis.</x:v>
      </x:c>
    </x:row>
    <x:row r="26">
      <x:c r="A26" t="str">
        <x:v>Customer economics</x:v>
      </x:c>
      <x:c r="B26" t="str">
        <x:v>Several customers combine poor margin and slow payment.</x:v>
      </x:c>
      <x:c r="C26" t="str">
        <x:v>Tests customer profitability + cash interaction.</x:v>
      </x:c>
    </x:row>
    <x:row r="27">
      <x:c r="A27" t="str">
        <x:v>Capacity pressure</x:v>
      </x:c>
      <x:c r="B27" t="str">
        <x:v>CNC / selected operations run near or beyond practical capacity.</x:v>
      </x:c>
      <x:c r="C27" t="str">
        <x:v>Tests operational constraint analysis.</x:v>
      </x:c>
    </x:row>
  </x:sheetData>
  <x:mergeCells>
    <x:mergeCell ref="A1:H1"/>
  </x:mergeCells>
  <x:conditionalFormatting sqref="C7:C10">
    <x:cfRule type="expression" dxfId="5" priority="1">
      <x:formula>C7="CONTROL FAILURE"</x:formula>
    </x:cfRule>
  </x:conditionalFormatting>
  <x:pageMargins left="0.7" right="0.7" top="0.75" bottom="0.75" header="0.3" footer="0.3"/>
</x:worksheet>
</file>