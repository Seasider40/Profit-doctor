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2"/>
    <sheet name="Management PL" sheetId="2" state="visible" r:id="rId3"/>
    <sheet name="Balance Sheet" sheetId="3" state="visible" r:id="rId4"/>
    <sheet name="Customer Product" sheetId="4" state="visible" r:id="rId5"/>
    <sheet name="Versions" sheetId="5" state="visible" r:id="rId6"/>
    <sheet name="Cash and Output" sheetId="6" state="visible" r:id="rId7"/>
    <sheet name="Context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<sst xmlns="http://schemas.openxmlformats.org/spreadsheetml/2006/main" count="1086" uniqueCount="275">
  <si>
    <t xml:space="preserve">Golden Manufacturing Ltd v2.48 data pack</t>
  </si>
  <si>
    <t xml:space="preserve">Topic</t>
  </si>
  <si>
    <t xml:space="preserve">Dataset documentation</t>
  </si>
  <si>
    <t xml:space="preserve">Data pack</t>
  </si>
  <si>
    <t xml:space="preserve">Golden Manufacturing Ltd v2.48. Synthetic accounting and operational records for a UK manufacturer with 32 employees and a December year-end.</t>
  </si>
  <si>
    <t xml:space="preserve">Periods and units</t>
  </si>
  <si>
    <t xml:space="preserve">The pack contains monthly records for calendar FY2025 and FY2026. Monetary values are GBP in whole pounds; unit prices are GBP per unit. Dates are numeric Excel dates.</t>
  </si>
  <si>
    <t xml:space="preserve">Management accounts</t>
  </si>
  <si>
    <t xml:space="preserve">Management PL contains the canonical monthly P&amp;L. Contribution 0 is the source-defined revenue less costs-before-C0 measure. Payroll, other overhead, depreciation, interest and tax are shown separately.</t>
  </si>
  <si>
    <t xml:space="preserve">Balance sheet</t>
  </si>
  <si>
    <t xml:space="preserve">Balance Sheet contains month-end accounting stocks. Net trade working capital is trade receivables plus inventory less trade payables. Accounting balance checks compare total assets with liabilities and equity.</t>
  </si>
  <si>
    <t xml:space="preserve">Customer/product records</t>
  </si>
  <si>
    <t xml:space="preserve">Customer Product contains a selected customer/product population. Its key is period + customer ID + product. A/B quantities are comparable sold units within each SKU. Blank quantity/price fields are unavailable measurements.</t>
  </si>
  <si>
    <t xml:space="preserve">Sources and versions</t>
  </si>
  <si>
    <t xml:space="preserve">Source IDs and Context IDs link records to the Context registry. Versions identifies revenue release history, canonical status, superseding record and reason. Its key is entity + period + metric + version.</t>
  </si>
  <si>
    <t xml:space="preserve">Version treatment</t>
  </si>
  <si>
    <t xml:space="preserve">Management PL already contains canonical revenue. Versions is an alternative history of the same revenue, not additional transactions to append. Release dates are scenario metadata.</t>
  </si>
  <si>
    <t xml:space="preserve">Cash and production</t>
  </si>
  <si>
    <t xml:space="preserve">Cash and Output contains asset additions, dividends, cash-classification fields and available production counts. Asset additions do not establish payment timing. Production counts measure completed good units, not sales.</t>
  </si>
  <si>
    <t xml:space="preserve">Missing values</t>
  </si>
  <si>
    <t xml:space="preserve">Blank values mean no measurement supplied, not zero. UNCLASSIFIED is the recorded cash classification status. Retain measurement, population, time and accounting basis when using these fields.</t>
  </si>
  <si>
    <t xml:space="preserve">Accounting construction</t>
  </si>
  <si>
    <t xml:space="preserve">Synthetic opening Dec24 retained earnings are 2,000,000, capital 1,000,000 and borrowings 2,000,000. Retained earnings roll with profit after tax less monthly dividends. Opening net fixed assets are 2,000,000.</t>
  </si>
  <si>
    <t xml:space="preserve">Cash construction</t>
  </si>
  <si>
    <t xml:space="preserve">Cash is an accounting stock calculated from liabilities/equity less noncash assets. Fixed assets roll with additions less depreciation. Noncash adjustments and transaction-level cash classifications are not supplied.</t>
  </si>
  <si>
    <t xml:space="preserve">Joins and record grain</t>
  </si>
  <si>
    <t xml:space="preserve">PL, BS and cash records use one row per month. Customer/product data uses one row per monthly customer/product combination. Flow measurements and month-end stocks have different aggregation rules.</t>
  </si>
  <si>
    <t xml:space="preserve">Monthly management P&amp;L (GBP)</t>
  </si>
  <si>
    <t xml:space="preserve">Period</t>
  </si>
  <si>
    <t xml:space="preserve">FY</t>
  </si>
  <si>
    <t xml:space="preserve">Revenue</t>
  </si>
  <si>
    <t xml:space="preserve">Contribution 0</t>
  </si>
  <si>
    <t xml:space="preserve">C0 margin</t>
  </si>
  <si>
    <t xml:space="preserve">Costs before C0</t>
  </si>
  <si>
    <t xml:space="preserve">Payroll after C0</t>
  </si>
  <si>
    <t xml:space="preserve">Other overhead</t>
  </si>
  <si>
    <t xml:space="preserve">Depreciation</t>
  </si>
  <si>
    <t xml:space="preserve">Operating profit</t>
  </si>
  <si>
    <t xml:space="preserve">Interest expense</t>
  </si>
  <si>
    <t xml:space="preserve">Profit before tax</t>
  </si>
  <si>
    <t xml:space="preserve">Tax expense</t>
  </si>
  <si>
    <t xml:space="preserve">Profit after tax</t>
  </si>
  <si>
    <t xml:space="preserve">Source ID</t>
  </si>
  <si>
    <t xml:space="preserve">Version</t>
  </si>
  <si>
    <t xml:space="preserve">Context ID</t>
  </si>
  <si>
    <t xml:space="preserve">MA-2025-01</t>
  </si>
  <si>
    <t xml:space="preserve">CTX-PL</t>
  </si>
  <si>
    <t xml:space="preserve">MA-2025-02</t>
  </si>
  <si>
    <t xml:space="preserve">MA-2025-03</t>
  </si>
  <si>
    <t xml:space="preserve">MA-2025-04</t>
  </si>
  <si>
    <t xml:space="preserve">MA-2025-05</t>
  </si>
  <si>
    <t xml:space="preserve">MA-2025-06</t>
  </si>
  <si>
    <t xml:space="preserve">MA-2025-07</t>
  </si>
  <si>
    <t xml:space="preserve">MA-2025-08</t>
  </si>
  <si>
    <t xml:space="preserve">MA-2025-09</t>
  </si>
  <si>
    <t xml:space="preserve">MA-2025-10</t>
  </si>
  <si>
    <t xml:space="preserve">MA-2025-11</t>
  </si>
  <si>
    <t xml:space="preserve">MA-2025-12</t>
  </si>
  <si>
    <t xml:space="preserve">MA-2026-01</t>
  </si>
  <si>
    <t xml:space="preserve">MA-2026-02</t>
  </si>
  <si>
    <t xml:space="preserve">MA-2026-03</t>
  </si>
  <si>
    <t xml:space="preserve">MA-2026-04</t>
  </si>
  <si>
    <t xml:space="preserve">MA-2026-05</t>
  </si>
  <si>
    <t xml:space="preserve">MA-2026-06</t>
  </si>
  <si>
    <t xml:space="preserve">MA-2026-07</t>
  </si>
  <si>
    <t xml:space="preserve">MA-2026-08</t>
  </si>
  <si>
    <t xml:space="preserve">MA-2026-09</t>
  </si>
  <si>
    <t xml:space="preserve">MA-2026-10</t>
  </si>
  <si>
    <t xml:space="preserve">MA-2026-11</t>
  </si>
  <si>
    <t xml:space="preserve">MA-2026-12</t>
  </si>
  <si>
    <t xml:space="preserve">Month-end balance sheet (GBP)</t>
  </si>
  <si>
    <t xml:space="preserve">Trade AR</t>
  </si>
  <si>
    <t xml:space="preserve">Inventory</t>
  </si>
  <si>
    <t xml:space="preserve">Trade AP</t>
  </si>
  <si>
    <t xml:space="preserve">Net trade WC</t>
  </si>
  <si>
    <t xml:space="preserve">Cash</t>
  </si>
  <si>
    <t xml:space="preserve">Net fixed assets</t>
  </si>
  <si>
    <t xml:space="preserve">Other current assets</t>
  </si>
  <si>
    <t xml:space="preserve">Total assets</t>
  </si>
  <si>
    <t xml:space="preserve">Other liabilities</t>
  </si>
  <si>
    <t xml:space="preserve">Tax payable</t>
  </si>
  <si>
    <t xml:space="preserve">Borrowings</t>
  </si>
  <si>
    <t xml:space="preserve">Share capital</t>
  </si>
  <si>
    <t xml:space="preserve">Retained earnings</t>
  </si>
  <si>
    <t xml:space="preserve">Liabilities + equity</t>
  </si>
  <si>
    <t xml:space="preserve">Balance check</t>
  </si>
  <si>
    <t xml:space="preserve">BS-2025-01</t>
  </si>
  <si>
    <t xml:space="preserve">CTX-BS</t>
  </si>
  <si>
    <t xml:space="preserve">BS-2025-02</t>
  </si>
  <si>
    <t xml:space="preserve">BS-2025-03</t>
  </si>
  <si>
    <t xml:space="preserve">BS-2025-04</t>
  </si>
  <si>
    <t xml:space="preserve">BS-2025-05</t>
  </si>
  <si>
    <t xml:space="preserve">BS-2025-06</t>
  </si>
  <si>
    <t xml:space="preserve">BS-2025-07</t>
  </si>
  <si>
    <t xml:space="preserve">BS-2025-08</t>
  </si>
  <si>
    <t xml:space="preserve">BS-2025-09</t>
  </si>
  <si>
    <t xml:space="preserve">BS-2025-10</t>
  </si>
  <si>
    <t xml:space="preserve">BS-2025-11</t>
  </si>
  <si>
    <t xml:space="preserve">BS-2025-12</t>
  </si>
  <si>
    <t xml:space="preserve">BS-2026-01</t>
  </si>
  <si>
    <t xml:space="preserve">BS-2026-02</t>
  </si>
  <si>
    <t xml:space="preserve">BS-2026-03</t>
  </si>
  <si>
    <t xml:space="preserve">BS-2026-04</t>
  </si>
  <si>
    <t xml:space="preserve">BS-2026-05</t>
  </si>
  <si>
    <t xml:space="preserve">BS-2026-06</t>
  </si>
  <si>
    <t xml:space="preserve">BS-2026-07</t>
  </si>
  <si>
    <t xml:space="preserve">BS-2026-08</t>
  </si>
  <si>
    <t xml:space="preserve">BS-2026-09</t>
  </si>
  <si>
    <t xml:space="preserve">BS-2026-10</t>
  </si>
  <si>
    <t xml:space="preserve">BS-2026-11</t>
  </si>
  <si>
    <t xml:space="preserve">BS-2026-12</t>
  </si>
  <si>
    <t xml:space="preserve">Customer / product monthly detail (GBP)</t>
  </si>
  <si>
    <t xml:space="preserve">Customer ID</t>
  </si>
  <si>
    <t xml:space="preserve">Product</t>
  </si>
  <si>
    <t xml:space="preserve">Units sold</t>
  </si>
  <si>
    <t xml:space="preserve">Unit price GBP</t>
  </si>
  <si>
    <t xml:space="preserve">Lifecycle</t>
  </si>
  <si>
    <t xml:space="preserve">CUST-01</t>
  </si>
  <si>
    <t xml:space="preserve">Product A</t>
  </si>
  <si>
    <t xml:space="preserve">RETAINED</t>
  </si>
  <si>
    <t xml:space="preserve">CP-2025-01</t>
  </si>
  <si>
    <t xml:space="preserve">CTX-DETAIL</t>
  </si>
  <si>
    <t xml:space="preserve">CUST-02</t>
  </si>
  <si>
    <t xml:space="preserve">Product B</t>
  </si>
  <si>
    <t xml:space="preserve">CUST-03</t>
  </si>
  <si>
    <t xml:space="preserve">Other assemblies</t>
  </si>
  <si>
    <t xml:space="preserve">CUST-04</t>
  </si>
  <si>
    <t xml:space="preserve">New product</t>
  </si>
  <si>
    <t xml:space="preserve">NEW</t>
  </si>
  <si>
    <t xml:space="preserve">CUST-05</t>
  </si>
  <si>
    <t xml:space="preserve">Lost product</t>
  </si>
  <si>
    <t xml:space="preserve">LOST</t>
  </si>
  <si>
    <t xml:space="preserve">CP-2025-02</t>
  </si>
  <si>
    <t xml:space="preserve">CP-2025-03</t>
  </si>
  <si>
    <t xml:space="preserve">CP-2025-04</t>
  </si>
  <si>
    <t xml:space="preserve">CP-2025-05</t>
  </si>
  <si>
    <t xml:space="preserve">CP-2025-06</t>
  </si>
  <si>
    <t xml:space="preserve">CP-2025-07</t>
  </si>
  <si>
    <t xml:space="preserve">CP-2025-08</t>
  </si>
  <si>
    <t xml:space="preserve">CP-2025-09</t>
  </si>
  <si>
    <t xml:space="preserve">CP-2025-10</t>
  </si>
  <si>
    <t xml:space="preserve">CP-2025-11</t>
  </si>
  <si>
    <t xml:space="preserve">CP-2025-12</t>
  </si>
  <si>
    <t xml:space="preserve">CP-2026-01</t>
  </si>
  <si>
    <t xml:space="preserve">CP-2026-02</t>
  </si>
  <si>
    <t xml:space="preserve">CP-2026-03</t>
  </si>
  <si>
    <t xml:space="preserve">CP-2026-04</t>
  </si>
  <si>
    <t xml:space="preserve">CP-2026-05</t>
  </si>
  <si>
    <t xml:space="preserve">CP-2026-06</t>
  </si>
  <si>
    <t xml:space="preserve">CP-2026-07</t>
  </si>
  <si>
    <t xml:space="preserve">CP-2026-08</t>
  </si>
  <si>
    <t xml:space="preserve">CP-2026-09</t>
  </si>
  <si>
    <t xml:space="preserve">CP-2026-10</t>
  </si>
  <si>
    <t xml:space="preserve">CP-2026-11</t>
  </si>
  <si>
    <t xml:space="preserve">CP-2026-12</t>
  </si>
  <si>
    <t xml:space="preserve">Revenue source versions (GBP)</t>
  </si>
  <si>
    <t xml:space="preserve">Record ID</t>
  </si>
  <si>
    <t xml:space="preserve">Metric</t>
  </si>
  <si>
    <t xml:space="preserve">Amount</t>
  </si>
  <si>
    <t xml:space="preserve">Status</t>
  </si>
  <si>
    <t xml:space="preserve">Superseded by</t>
  </si>
  <si>
    <t xml:space="preserve">Release date</t>
  </si>
  <si>
    <t xml:space="preserve">Reason</t>
  </si>
  <si>
    <t xml:space="preserve">MA-2025-01-REV-v1</t>
  </si>
  <si>
    <t xml:space="preserve">CANONICAL</t>
  </si>
  <si>
    <t xml:space="preserve">Original monthly release.</t>
  </si>
  <si>
    <t xml:space="preserve">MA-2025-02-REV-v1</t>
  </si>
  <si>
    <t xml:space="preserve">MA-2025-03-REV-v1</t>
  </si>
  <si>
    <t xml:space="preserve">MA-2025-04-REV-v1</t>
  </si>
  <si>
    <t xml:space="preserve">MA-2025-05-REV-v1</t>
  </si>
  <si>
    <t xml:space="preserve">MA-2025-06-REV-v1</t>
  </si>
  <si>
    <t xml:space="preserve">MA-2025-07-REV-v1</t>
  </si>
  <si>
    <t xml:space="preserve">MA-2025-08-REV-v1</t>
  </si>
  <si>
    <t xml:space="preserve">MA-2025-09-REV-v1</t>
  </si>
  <si>
    <t xml:space="preserve">MA-2025-10-REV-v1</t>
  </si>
  <si>
    <t xml:space="preserve">MA-2025-11-REV-v1</t>
  </si>
  <si>
    <t xml:space="preserve">MA-2025-12-REV-v1</t>
  </si>
  <si>
    <t xml:space="preserve">MA-2026-01-REV-v1</t>
  </si>
  <si>
    <t xml:space="preserve">MA-2026-02-REV-v1</t>
  </si>
  <si>
    <t xml:space="preserve">MA-2026-03-REV-v1</t>
  </si>
  <si>
    <t xml:space="preserve">SUPERSEDED</t>
  </si>
  <si>
    <t xml:space="preserve">MA-2026-03-REV-v2</t>
  </si>
  <si>
    <t xml:space="preserve">50,000 revenue belongs to April, originally recognised in March.</t>
  </si>
  <si>
    <t xml:space="preserve">Paired March/April restatement. Use both v2 records.</t>
  </si>
  <si>
    <t xml:space="preserve">MA-2026-04-REV-v1</t>
  </si>
  <si>
    <t xml:space="preserve">MA-2026-04-REV-v2</t>
  </si>
  <si>
    <t xml:space="preserve">MA-2026-05-REV-v1</t>
  </si>
  <si>
    <t xml:space="preserve">MA-2026-06-REV-v1</t>
  </si>
  <si>
    <t xml:space="preserve">MA-2026-07-REV-v1</t>
  </si>
  <si>
    <t xml:space="preserve">MA-2026-08-REV-v1</t>
  </si>
  <si>
    <t xml:space="preserve">MA-2026-09-REV-v1</t>
  </si>
  <si>
    <t xml:space="preserve">MA-2026-10-REV-v1</t>
  </si>
  <si>
    <t xml:space="preserve">MA-2026-11-REV-v1</t>
  </si>
  <si>
    <t xml:space="preserve">MA-2026-12-REV-v1</t>
  </si>
  <si>
    <t xml:space="preserve">Cash indicators and incomplete output evidence</t>
  </si>
  <si>
    <t xml:space="preserve">Asset additions GBP</t>
  </si>
  <si>
    <t xml:space="preserve">Dividends GBP</t>
  </si>
  <si>
    <t xml:space="preserve">Cash-flow class</t>
  </si>
  <si>
    <t xml:space="preserve">Operating cash GBP</t>
  </si>
  <si>
    <t xml:space="preserve">Output units</t>
  </si>
  <si>
    <t xml:space="preserve">Output scope</t>
  </si>
  <si>
    <t xml:space="preserve">Context IDs</t>
  </si>
  <si>
    <t xml:space="preserve">UNCLASSIFIED</t>
  </si>
  <si>
    <t xml:space="preserve">No comparable output evidence</t>
  </si>
  <si>
    <t xml:space="preserve">CASH-2025-01</t>
  </si>
  <si>
    <t xml:space="preserve">CTX-CASH / CTX-OUTPUT</t>
  </si>
  <si>
    <t xml:space="preserve">CASH-2025-02</t>
  </si>
  <si>
    <t xml:space="preserve">CASH-2025-03</t>
  </si>
  <si>
    <t xml:space="preserve">CASH-2025-04</t>
  </si>
  <si>
    <t xml:space="preserve">CASH-2025-05</t>
  </si>
  <si>
    <t xml:space="preserve">CASH-2025-06</t>
  </si>
  <si>
    <t xml:space="preserve">CASH-2025-07</t>
  </si>
  <si>
    <t xml:space="preserve">CASH-2025-08</t>
  </si>
  <si>
    <t xml:space="preserve">CASH-2025-09</t>
  </si>
  <si>
    <t xml:space="preserve">CASH-2025-10</t>
  </si>
  <si>
    <t xml:space="preserve">CASH-2025-11</t>
  </si>
  <si>
    <t xml:space="preserve">CASH-2025-12</t>
  </si>
  <si>
    <t xml:space="preserve">CASH-2026-01</t>
  </si>
  <si>
    <t xml:space="preserve">CASH-2026-02</t>
  </si>
  <si>
    <t xml:space="preserve">CASH-2026-03</t>
  </si>
  <si>
    <t xml:space="preserve">CASH-2026-04</t>
  </si>
  <si>
    <t xml:space="preserve">CASH-2026-05</t>
  </si>
  <si>
    <t xml:space="preserve">CASH-2026-06</t>
  </si>
  <si>
    <t xml:space="preserve">Product B line good units completed</t>
  </si>
  <si>
    <t xml:space="preserve">CASH-2026-07</t>
  </si>
  <si>
    <t xml:space="preserve">CASH-2026-08</t>
  </si>
  <si>
    <t xml:space="preserve">CASH-2026-09</t>
  </si>
  <si>
    <t xml:space="preserve">CASH-2026-10</t>
  </si>
  <si>
    <t xml:space="preserve">CASH-2026-11</t>
  </si>
  <si>
    <t xml:space="preserve">CASH-2026-12</t>
  </si>
  <si>
    <t xml:space="preserve">Measurement context and source registry</t>
  </si>
  <si>
    <t xml:space="preserve">Entity</t>
  </si>
  <si>
    <t xml:space="preserve">Currency / scale</t>
  </si>
  <si>
    <t xml:space="preserve">Measurement</t>
  </si>
  <si>
    <t xml:space="preserve">Period scope</t>
  </si>
  <si>
    <t xml:space="preserve">Population</t>
  </si>
  <si>
    <t xml:space="preserve">Basis / definition</t>
  </si>
  <si>
    <t xml:space="preserve">Source / version</t>
  </si>
  <si>
    <t xml:space="preserve">Availability notes</t>
  </si>
  <si>
    <t xml:space="preserve">Golden Manufacturing Ltd</t>
  </si>
  <si>
    <t xml:space="preserve">GBP / whole pounds</t>
  </si>
  <si>
    <t xml:space="preserve">Monthly flow</t>
  </si>
  <si>
    <t xml:space="preserve">Jan 2025 to Dec 2026</t>
  </si>
  <si>
    <t xml:space="preserve">Complete legal entity</t>
  </si>
  <si>
    <t xml:space="preserve">Accrual management accounts. Contribution 0 equals revenue less costs before C0. Same accounting basis throughout.</t>
  </si>
  <si>
    <t xml:space="preserve">MA-YYYY-MM. v2 for Mar/Apr 2026.</t>
  </si>
  <si>
    <t xml:space="preserve">Canonical records; version history supplied separately.</t>
  </si>
  <si>
    <t xml:space="preserve">Month-end stock</t>
  </si>
  <si>
    <t xml:space="preserve">Consistent balance definitions. Net trade working capital equals trade receivables plus inventory less trade payables.</t>
  </si>
  <si>
    <t xml:space="preserve">BS-YYYY-MM / v1</t>
  </si>
  <si>
    <t xml:space="preserve">Cash is a balance-sheet stock. Transaction cash-flow classifications are not supplied.</t>
  </si>
  <si>
    <t xml:space="preserve">Nonrandom selected customer/product population</t>
  </si>
  <si>
    <t xml:space="preserve">Revenue and Contribution 0 by customer/product. A/B units comparable within SKU. Other unit fields are blank.</t>
  </si>
  <si>
    <t xml:space="preserve">CP-YYYY-MM / v1, aligned to restated accounts</t>
  </si>
  <si>
    <t xml:space="preserve">The selected population is not the complete entity.</t>
  </si>
  <si>
    <t xml:space="preserve">CTX-CASH</t>
  </si>
  <si>
    <t xml:space="preserve">Monthly indicators</t>
  </si>
  <si>
    <t xml:space="preserve">Partial cash classification</t>
  </si>
  <si>
    <t xml:space="preserve">Cash stock, asset additions and dividends. No cash-flow mapping or noncash reconciliation is supplied.</t>
  </si>
  <si>
    <t xml:space="preserve">CASH-YYYY-MM / v1</t>
  </si>
  <si>
    <t xml:space="preserve">Payment timing, tax/interest payments and classified cash transactions are not supplied.</t>
  </si>
  <si>
    <t xml:space="preserve">CTX-OUTPUT</t>
  </si>
  <si>
    <t xml:space="preserve">Physical units / count</t>
  </si>
  <si>
    <t xml:space="preserve">Only Jul to Dec 2026</t>
  </si>
  <si>
    <t xml:space="preserve">Product B line only</t>
  </si>
  <si>
    <t xml:space="preserve">Good units completed, distinct from units sold. No FY2025 equivalent, other products, WIP or rejects reconciliation is supplied.</t>
  </si>
  <si>
    <t xml:space="preserve">OPS-YYYY-MM / v1</t>
  </si>
  <si>
    <t xml:space="preserve">Payroll and overhead relate to the full legal entity.</t>
  </si>
  <si>
    <t xml:space="preserve">DESIGN-v1</t>
  </si>
  <si>
    <t xml:space="preserve">Synthetic fixture design</t>
  </si>
  <si>
    <t xml:space="preserve">24 calendar months, December year-end</t>
  </si>
  <si>
    <t xml:space="preserve">32 employees, UK owner-managed manufacturer</t>
  </si>
  <si>
    <t xml:space="preserve">Synthetic management accounts, balance-sheet records and customer/product allocations.</t>
  </si>
  <si>
    <t xml:space="preserve">Dataset v2.48 / build 1</t>
  </si>
  <si>
    <t xml:space="preserve">All records are synthetic. Release dates are scenario dates, including future months.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</si>
</sst>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\-YY"/>
    <numFmt numFmtId="166" formatCode="#,##0.00;\(#,##0.00\);\-"/>
    <numFmt numFmtId="167" formatCode="0.0%"/>
    <numFmt numFmtId="168" formatCode="#,##0"/>
    <numFmt numFmtId="169" formatCode="DD\-MMM\-YYYY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172B4D"/>
      <name val="Arial"/>
      <family val="0"/>
      <charset val="1"/>
    </font>
    <font>
      <b val="true"/>
      <sz val="15"/>
      <color rgb="FF172B4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D4ED8"/>
      <name val="Arial"/>
      <family val="0"/>
      <charset val="1"/>
    </font>
    <font>
      <sz val="10"/>
      <color rgb="FF111827"/>
      <name val="Arial"/>
      <family val="0"/>
      <charset val="1"/>
    </font>
    <font>
      <sz val="10"/>
      <color rgb="FF00804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03B5C"/>
        <bgColor rgb="FF172B4D"/>
      </patternFill>
    </fill>
    <fill>
      <patternFill patternType="solid">
        <fgColor rgb="FFF1F5F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4A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293A6"/>
      <rgbColor rgb="FF172B4D"/>
      <rgbColor rgb="FF339966"/>
      <rgbColor rgb="FF111827"/>
      <rgbColor rgb="FF333300"/>
      <rgbColor rgb="FF993300"/>
      <rgbColor rgb="FF993366"/>
      <rgbColor rgb="FF333399"/>
      <rgbColor rgb="FF203B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8293A6"/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30.02"/>
    <col collapsed="false" customWidth="true" hidden="false" outlineLevel="0" max="2" min="2" style="0" width="121.99"/>
    <col collapsed="false" customWidth="true" hidden="false" outlineLevel="0" max="1025" min="3" style="0" width="8.45"/>
  </cols>
  <sheetData>
    <row r="1" customFormat="false" ht="23" hidden="false" customHeight="true" outlineLevel="0" collapsed="false">
      <c r="A1" s="1"/>
      <c r="B1" s="1"/>
    </row>
    <row r="2" customFormat="false" ht="23" hidden="false" customHeight="true" outlineLevel="0" collapsed="false">
      <c r="A2" s="2" t="s">
        <v>0</v>
      </c>
      <c r="B2" s="1"/>
    </row>
    <row r="3" customFormat="false" ht="23" hidden="false" customHeight="true" outlineLevel="0" collapsed="false">
      <c r="A3" s="1"/>
      <c r="B3" s="1"/>
    </row>
    <row r="4" customFormat="false" ht="32" hidden="false" customHeight="true" outlineLevel="0" collapsed="false">
      <c r="A4" s="3" t="s">
        <v>1</v>
      </c>
      <c r="B4" s="3" t="s">
        <v>2</v>
      </c>
    </row>
    <row r="5" customFormat="false" ht="55" hidden="false" customHeight="true" outlineLevel="0" collapsed="false">
      <c r="A5" s="1" t="s">
        <v>3</v>
      </c>
      <c r="B5" s="4" t="s">
        <v>4</v>
      </c>
    </row>
    <row r="6" customFormat="false" ht="55" hidden="false" customHeight="true" outlineLevel="0" collapsed="false">
      <c r="A6" s="5" t="s">
        <v>5</v>
      </c>
      <c r="B6" s="6" t="s">
        <v>6</v>
      </c>
    </row>
    <row r="7" customFormat="false" ht="55" hidden="false" customHeight="true" outlineLevel="0" collapsed="false">
      <c r="A7" s="1" t="s">
        <v>7</v>
      </c>
      <c r="B7" s="4" t="s">
        <v>8</v>
      </c>
    </row>
    <row r="8" customFormat="false" ht="55" hidden="false" customHeight="true" outlineLevel="0" collapsed="false">
      <c r="A8" s="5" t="s">
        <v>9</v>
      </c>
      <c r="B8" s="6" t="s">
        <v>10</v>
      </c>
    </row>
    <row r="9" customFormat="false" ht="55" hidden="false" customHeight="true" outlineLevel="0" collapsed="false">
      <c r="A9" s="1" t="s">
        <v>11</v>
      </c>
      <c r="B9" s="4" t="s">
        <v>12</v>
      </c>
    </row>
    <row r="10" customFormat="false" ht="55" hidden="false" customHeight="true" outlineLevel="0" collapsed="false">
      <c r="A10" s="5" t="s">
        <v>13</v>
      </c>
      <c r="B10" s="6" t="s">
        <v>14</v>
      </c>
    </row>
    <row r="11" customFormat="false" ht="55" hidden="false" customHeight="true" outlineLevel="0" collapsed="false">
      <c r="A11" s="1" t="s">
        <v>15</v>
      </c>
      <c r="B11" s="4" t="s">
        <v>16</v>
      </c>
    </row>
    <row r="12" customFormat="false" ht="55" hidden="false" customHeight="true" outlineLevel="0" collapsed="false">
      <c r="A12" s="5" t="s">
        <v>17</v>
      </c>
      <c r="B12" s="6" t="s">
        <v>18</v>
      </c>
    </row>
    <row r="13" customFormat="false" ht="55" hidden="false" customHeight="true" outlineLevel="0" collapsed="false">
      <c r="A13" s="1" t="s">
        <v>19</v>
      </c>
      <c r="B13" s="4" t="s">
        <v>20</v>
      </c>
    </row>
    <row r="14" customFormat="false" ht="55" hidden="false" customHeight="true" outlineLevel="0" collapsed="false">
      <c r="A14" s="5" t="s">
        <v>21</v>
      </c>
      <c r="B14" s="6" t="s">
        <v>22</v>
      </c>
    </row>
    <row r="15" customFormat="false" ht="55" hidden="false" customHeight="true" outlineLevel="0" collapsed="false">
      <c r="A15" s="1" t="s">
        <v>23</v>
      </c>
      <c r="B15" s="4" t="s">
        <v>24</v>
      </c>
    </row>
    <row r="16" customFormat="false" ht="55" hidden="false" customHeight="true" outlineLevel="0" collapsed="false">
      <c r="A16" s="5" t="s">
        <v>25</v>
      </c>
      <c r="B16" s="6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3.0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3.02"/>
    <col collapsed="false" customWidth="true" hidden="false" outlineLevel="0" max="5" min="5" style="0" width="14.01"/>
    <col collapsed="false" customWidth="true" hidden="false" outlineLevel="0" max="6" min="6" style="0" width="19.99"/>
    <col collapsed="false" customWidth="true" hidden="false" outlineLevel="0" max="7" min="7" style="0" width="13.02"/>
    <col collapsed="false" customWidth="true" hidden="false" outlineLevel="0" max="8" min="8" style="0" width="18"/>
    <col collapsed="false" customWidth="true" hidden="false" outlineLevel="0" max="9" min="9" style="0" width="13.02"/>
    <col collapsed="false" customWidth="true" hidden="false" outlineLevel="0" max="10" min="10" style="0" width="19.99"/>
    <col collapsed="false" customWidth="true" hidden="false" outlineLevel="0" max="11" min="11" style="0" width="18"/>
    <col collapsed="false" customWidth="true" hidden="false" outlineLevel="0" max="12" min="12" style="0" width="19.99"/>
    <col collapsed="false" customWidth="true" hidden="false" outlineLevel="0" max="13" min="13" style="0" width="18"/>
    <col collapsed="false" customWidth="true" hidden="false" outlineLevel="0" max="14" min="14" style="0" width="19.99"/>
    <col collapsed="false" customWidth="true" hidden="false" outlineLevel="0" max="15" min="15" style="0" width="22.01"/>
    <col collapsed="false" customWidth="true" hidden="false" outlineLevel="0" max="16" min="16" style="0" width="11.99"/>
    <col collapsed="false" customWidth="true" hidden="false" outlineLevel="0" max="17" min="17" style="0" width="16"/>
    <col collapsed="false" customWidth="true" hidden="false" outlineLevel="0" max="1025" min="18" style="0" width="8.45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3" hidden="false" customHeight="true" outlineLevel="0" collapsed="false">
      <c r="A2" s="2" t="s">
        <v>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2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32" hidden="false" customHeight="true" outlineLevel="0" collapsed="false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</row>
    <row r="5" customFormat="false" ht="23" hidden="false" customHeight="true" outlineLevel="0" collapsed="false">
      <c r="A5" s="7" t="n">
        <v>45658</v>
      </c>
      <c r="B5" s="8" t="n">
        <v>2025</v>
      </c>
      <c r="C5" s="9" t="n">
        <v>900000</v>
      </c>
      <c r="D5" s="9" t="n">
        <v>271800</v>
      </c>
      <c r="E5" s="10" t="n">
        <f aca="false">D5/C5</f>
        <v>0.302</v>
      </c>
      <c r="F5" s="11" t="n">
        <f aca="false">C5-D5</f>
        <v>628200</v>
      </c>
      <c r="G5" s="9" t="n">
        <v>125000</v>
      </c>
      <c r="H5" s="9" t="n">
        <v>65000</v>
      </c>
      <c r="I5" s="9" t="n">
        <v>20000</v>
      </c>
      <c r="J5" s="11" t="n">
        <f aca="false">D5-SUM(G5:I5)</f>
        <v>61800</v>
      </c>
      <c r="K5" s="9" t="n">
        <v>10000</v>
      </c>
      <c r="L5" s="11" t="n">
        <f aca="false">J5-K5</f>
        <v>51800</v>
      </c>
      <c r="M5" s="11" t="n">
        <f aca="false">L5*0.25</f>
        <v>12950</v>
      </c>
      <c r="N5" s="11" t="n">
        <f aca="false">L5-M5</f>
        <v>38850</v>
      </c>
      <c r="O5" s="1" t="s">
        <v>45</v>
      </c>
      <c r="P5" s="1" t="n">
        <v>1</v>
      </c>
      <c r="Q5" s="1" t="s">
        <v>46</v>
      </c>
    </row>
    <row r="6" customFormat="false" ht="23" hidden="false" customHeight="true" outlineLevel="0" collapsed="false">
      <c r="A6" s="12" t="n">
        <v>45689</v>
      </c>
      <c r="B6" s="13" t="n">
        <v>2025</v>
      </c>
      <c r="C6" s="14" t="n">
        <v>936000</v>
      </c>
      <c r="D6" s="14" t="n">
        <v>281700</v>
      </c>
      <c r="E6" s="15" t="n">
        <f aca="false">D6/C6</f>
        <v>0.300961538461538</v>
      </c>
      <c r="F6" s="16" t="n">
        <f aca="false">C6-D6</f>
        <v>654300</v>
      </c>
      <c r="G6" s="14" t="n">
        <v>125000</v>
      </c>
      <c r="H6" s="14" t="n">
        <v>65000</v>
      </c>
      <c r="I6" s="14" t="n">
        <v>20000</v>
      </c>
      <c r="J6" s="16" t="n">
        <f aca="false">D6-SUM(G6:I6)</f>
        <v>71700</v>
      </c>
      <c r="K6" s="14" t="n">
        <v>10000</v>
      </c>
      <c r="L6" s="16" t="n">
        <f aca="false">J6-K6</f>
        <v>61700</v>
      </c>
      <c r="M6" s="16" t="n">
        <f aca="false">L6*0.25</f>
        <v>15425</v>
      </c>
      <c r="N6" s="16" t="n">
        <f aca="false">L6-M6</f>
        <v>46275</v>
      </c>
      <c r="O6" s="5" t="s">
        <v>47</v>
      </c>
      <c r="P6" s="5" t="n">
        <v>1</v>
      </c>
      <c r="Q6" s="5" t="s">
        <v>46</v>
      </c>
    </row>
    <row r="7" customFormat="false" ht="23" hidden="false" customHeight="true" outlineLevel="0" collapsed="false">
      <c r="A7" s="7" t="n">
        <v>45717</v>
      </c>
      <c r="B7" s="8" t="n">
        <v>2025</v>
      </c>
      <c r="C7" s="9" t="n">
        <v>972000</v>
      </c>
      <c r="D7" s="9" t="n">
        <v>291600</v>
      </c>
      <c r="E7" s="10" t="n">
        <f aca="false">D7/C7</f>
        <v>0.3</v>
      </c>
      <c r="F7" s="11" t="n">
        <f aca="false">C7-D7</f>
        <v>680400</v>
      </c>
      <c r="G7" s="9" t="n">
        <v>125000</v>
      </c>
      <c r="H7" s="9" t="n">
        <v>65000</v>
      </c>
      <c r="I7" s="9" t="n">
        <v>20000</v>
      </c>
      <c r="J7" s="11" t="n">
        <f aca="false">D7-SUM(G7:I7)</f>
        <v>81600</v>
      </c>
      <c r="K7" s="9" t="n">
        <v>10000</v>
      </c>
      <c r="L7" s="11" t="n">
        <f aca="false">J7-K7</f>
        <v>71600</v>
      </c>
      <c r="M7" s="11" t="n">
        <f aca="false">L7*0.25</f>
        <v>17900</v>
      </c>
      <c r="N7" s="11" t="n">
        <f aca="false">L7-M7</f>
        <v>53700</v>
      </c>
      <c r="O7" s="1" t="s">
        <v>48</v>
      </c>
      <c r="P7" s="1" t="n">
        <v>1</v>
      </c>
      <c r="Q7" s="1" t="s">
        <v>46</v>
      </c>
    </row>
    <row r="8" customFormat="false" ht="23" hidden="false" customHeight="true" outlineLevel="0" collapsed="false">
      <c r="A8" s="12" t="n">
        <v>45748</v>
      </c>
      <c r="B8" s="13" t="n">
        <v>2025</v>
      </c>
      <c r="C8" s="14" t="n">
        <v>948000</v>
      </c>
      <c r="D8" s="14" t="n">
        <v>283500</v>
      </c>
      <c r="E8" s="15" t="n">
        <f aca="false">D8/C8</f>
        <v>0.299050632911392</v>
      </c>
      <c r="F8" s="16" t="n">
        <f aca="false">C8-D8</f>
        <v>664500</v>
      </c>
      <c r="G8" s="14" t="n">
        <v>125000</v>
      </c>
      <c r="H8" s="14" t="n">
        <v>65000</v>
      </c>
      <c r="I8" s="14" t="n">
        <v>20000</v>
      </c>
      <c r="J8" s="16" t="n">
        <f aca="false">D8-SUM(G8:I8)</f>
        <v>73500</v>
      </c>
      <c r="K8" s="14" t="n">
        <v>10000</v>
      </c>
      <c r="L8" s="16" t="n">
        <f aca="false">J8-K8</f>
        <v>63500</v>
      </c>
      <c r="M8" s="16" t="n">
        <f aca="false">L8*0.25</f>
        <v>15875</v>
      </c>
      <c r="N8" s="16" t="n">
        <f aca="false">L8-M8</f>
        <v>47625</v>
      </c>
      <c r="O8" s="5" t="s">
        <v>49</v>
      </c>
      <c r="P8" s="5" t="n">
        <v>1</v>
      </c>
      <c r="Q8" s="5" t="s">
        <v>46</v>
      </c>
    </row>
    <row r="9" customFormat="false" ht="23" hidden="false" customHeight="true" outlineLevel="0" collapsed="false">
      <c r="A9" s="7" t="n">
        <v>45778</v>
      </c>
      <c r="B9" s="8" t="n">
        <v>2025</v>
      </c>
      <c r="C9" s="9" t="n">
        <v>984000</v>
      </c>
      <c r="D9" s="9" t="n">
        <v>296200</v>
      </c>
      <c r="E9" s="10" t="n">
        <f aca="false">D9/C9</f>
        <v>0.301016260162602</v>
      </c>
      <c r="F9" s="11" t="n">
        <f aca="false">C9-D9</f>
        <v>687800</v>
      </c>
      <c r="G9" s="9" t="n">
        <v>125000</v>
      </c>
      <c r="H9" s="9" t="n">
        <v>65000</v>
      </c>
      <c r="I9" s="9" t="n">
        <v>20000</v>
      </c>
      <c r="J9" s="11" t="n">
        <f aca="false">D9-SUM(G9:I9)</f>
        <v>86200</v>
      </c>
      <c r="K9" s="9" t="n">
        <v>10000</v>
      </c>
      <c r="L9" s="11" t="n">
        <f aca="false">J9-K9</f>
        <v>76200</v>
      </c>
      <c r="M9" s="11" t="n">
        <f aca="false">L9*0.25</f>
        <v>19050</v>
      </c>
      <c r="N9" s="11" t="n">
        <f aca="false">L9-M9</f>
        <v>57150</v>
      </c>
      <c r="O9" s="1" t="s">
        <v>50</v>
      </c>
      <c r="P9" s="1" t="n">
        <v>1</v>
      </c>
      <c r="Q9" s="1" t="s">
        <v>46</v>
      </c>
    </row>
    <row r="10" customFormat="false" ht="23" hidden="false" customHeight="true" outlineLevel="0" collapsed="false">
      <c r="A10" s="12" t="n">
        <v>45809</v>
      </c>
      <c r="B10" s="13" t="n">
        <v>2025</v>
      </c>
      <c r="C10" s="14" t="n">
        <v>1008000</v>
      </c>
      <c r="D10" s="14" t="n">
        <v>302400</v>
      </c>
      <c r="E10" s="15" t="n">
        <f aca="false">D10/C10</f>
        <v>0.3</v>
      </c>
      <c r="F10" s="16" t="n">
        <f aca="false">C10-D10</f>
        <v>705600</v>
      </c>
      <c r="G10" s="14" t="n">
        <v>125000</v>
      </c>
      <c r="H10" s="14" t="n">
        <v>65000</v>
      </c>
      <c r="I10" s="14" t="n">
        <v>20000</v>
      </c>
      <c r="J10" s="16" t="n">
        <f aca="false">D10-SUM(G10:I10)</f>
        <v>92400</v>
      </c>
      <c r="K10" s="14" t="n">
        <v>10000</v>
      </c>
      <c r="L10" s="16" t="n">
        <f aca="false">J10-K10</f>
        <v>82400</v>
      </c>
      <c r="M10" s="16" t="n">
        <f aca="false">L10*0.25</f>
        <v>20600</v>
      </c>
      <c r="N10" s="16" t="n">
        <f aca="false">L10-M10</f>
        <v>61800</v>
      </c>
      <c r="O10" s="5" t="s">
        <v>51</v>
      </c>
      <c r="P10" s="5" t="n">
        <v>1</v>
      </c>
      <c r="Q10" s="5" t="s">
        <v>46</v>
      </c>
    </row>
    <row r="11" customFormat="false" ht="23" hidden="false" customHeight="true" outlineLevel="0" collapsed="false">
      <c r="A11" s="7" t="n">
        <v>45839</v>
      </c>
      <c r="B11" s="8" t="n">
        <v>2025</v>
      </c>
      <c r="C11" s="9" t="n">
        <v>948000</v>
      </c>
      <c r="D11" s="9" t="n">
        <v>282500</v>
      </c>
      <c r="E11" s="10" t="n">
        <f aca="false">D11/C11</f>
        <v>0.297995780590717</v>
      </c>
      <c r="F11" s="11" t="n">
        <f aca="false">C11-D11</f>
        <v>665500</v>
      </c>
      <c r="G11" s="9" t="n">
        <v>125000</v>
      </c>
      <c r="H11" s="9" t="n">
        <v>65000</v>
      </c>
      <c r="I11" s="9" t="n">
        <v>20000</v>
      </c>
      <c r="J11" s="11" t="n">
        <f aca="false">D11-SUM(G11:I11)</f>
        <v>72500</v>
      </c>
      <c r="K11" s="9" t="n">
        <v>10000</v>
      </c>
      <c r="L11" s="11" t="n">
        <f aca="false">J11-K11</f>
        <v>62500</v>
      </c>
      <c r="M11" s="11" t="n">
        <f aca="false">L11*0.25</f>
        <v>15625</v>
      </c>
      <c r="N11" s="11" t="n">
        <f aca="false">L11-M11</f>
        <v>46875</v>
      </c>
      <c r="O11" s="1" t="s">
        <v>52</v>
      </c>
      <c r="P11" s="1" t="n">
        <v>1</v>
      </c>
      <c r="Q11" s="1" t="s">
        <v>46</v>
      </c>
    </row>
    <row r="12" customFormat="false" ht="23" hidden="false" customHeight="true" outlineLevel="0" collapsed="false">
      <c r="A12" s="12" t="n">
        <v>45870</v>
      </c>
      <c r="B12" s="13" t="n">
        <v>2025</v>
      </c>
      <c r="C12" s="14" t="n">
        <v>900000</v>
      </c>
      <c r="D12" s="14" t="n">
        <v>267300</v>
      </c>
      <c r="E12" s="15" t="n">
        <f aca="false">D12/C12</f>
        <v>0.297</v>
      </c>
      <c r="F12" s="16" t="n">
        <f aca="false">C12-D12</f>
        <v>632700</v>
      </c>
      <c r="G12" s="14" t="n">
        <v>125000</v>
      </c>
      <c r="H12" s="14" t="n">
        <v>65000</v>
      </c>
      <c r="I12" s="14" t="n">
        <v>20000</v>
      </c>
      <c r="J12" s="16" t="n">
        <f aca="false">D12-SUM(G12:I12)</f>
        <v>57300</v>
      </c>
      <c r="K12" s="14" t="n">
        <v>10000</v>
      </c>
      <c r="L12" s="16" t="n">
        <f aca="false">J12-K12</f>
        <v>47300</v>
      </c>
      <c r="M12" s="16" t="n">
        <f aca="false">L12*0.25</f>
        <v>11825</v>
      </c>
      <c r="N12" s="16" t="n">
        <f aca="false">L12-M12</f>
        <v>35475</v>
      </c>
      <c r="O12" s="5" t="s">
        <v>53</v>
      </c>
      <c r="P12" s="5" t="n">
        <v>1</v>
      </c>
      <c r="Q12" s="5" t="s">
        <v>46</v>
      </c>
    </row>
    <row r="13" customFormat="false" ht="23" hidden="false" customHeight="true" outlineLevel="0" collapsed="false">
      <c r="A13" s="7" t="n">
        <v>45901</v>
      </c>
      <c r="B13" s="8" t="n">
        <v>2025</v>
      </c>
      <c r="C13" s="9" t="n">
        <v>996000</v>
      </c>
      <c r="D13" s="9" t="n">
        <v>297800</v>
      </c>
      <c r="E13" s="10" t="n">
        <f aca="false">D13/C13</f>
        <v>0.298995983935743</v>
      </c>
      <c r="F13" s="11" t="n">
        <f aca="false">C13-D13</f>
        <v>698200</v>
      </c>
      <c r="G13" s="9" t="n">
        <v>125000</v>
      </c>
      <c r="H13" s="9" t="n">
        <v>65000</v>
      </c>
      <c r="I13" s="9" t="n">
        <v>20000</v>
      </c>
      <c r="J13" s="11" t="n">
        <f aca="false">D13-SUM(G13:I13)</f>
        <v>87800</v>
      </c>
      <c r="K13" s="9" t="n">
        <v>10000</v>
      </c>
      <c r="L13" s="11" t="n">
        <f aca="false">J13-K13</f>
        <v>77800</v>
      </c>
      <c r="M13" s="11" t="n">
        <f aca="false">L13*0.25</f>
        <v>19450</v>
      </c>
      <c r="N13" s="11" t="n">
        <f aca="false">L13-M13</f>
        <v>58350</v>
      </c>
      <c r="O13" s="1" t="s">
        <v>54</v>
      </c>
      <c r="P13" s="1" t="n">
        <v>1</v>
      </c>
      <c r="Q13" s="1" t="s">
        <v>46</v>
      </c>
    </row>
    <row r="14" customFormat="false" ht="23" hidden="false" customHeight="true" outlineLevel="0" collapsed="false">
      <c r="A14" s="12" t="n">
        <v>45931</v>
      </c>
      <c r="B14" s="13" t="n">
        <v>2025</v>
      </c>
      <c r="C14" s="14" t="n">
        <v>1056000</v>
      </c>
      <c r="D14" s="14" t="n">
        <v>317900</v>
      </c>
      <c r="E14" s="15" t="n">
        <f aca="false">D14/C14</f>
        <v>0.301041666666667</v>
      </c>
      <c r="F14" s="16" t="n">
        <f aca="false">C14-D14</f>
        <v>738100</v>
      </c>
      <c r="G14" s="14" t="n">
        <v>125000</v>
      </c>
      <c r="H14" s="14" t="n">
        <v>65000</v>
      </c>
      <c r="I14" s="14" t="n">
        <v>20000</v>
      </c>
      <c r="J14" s="16" t="n">
        <f aca="false">D14-SUM(G14:I14)</f>
        <v>107900</v>
      </c>
      <c r="K14" s="14" t="n">
        <v>10000</v>
      </c>
      <c r="L14" s="16" t="n">
        <f aca="false">J14-K14</f>
        <v>97900</v>
      </c>
      <c r="M14" s="16" t="n">
        <f aca="false">L14*0.25</f>
        <v>24475</v>
      </c>
      <c r="N14" s="16" t="n">
        <f aca="false">L14-M14</f>
        <v>73425</v>
      </c>
      <c r="O14" s="5" t="s">
        <v>55</v>
      </c>
      <c r="P14" s="5" t="n">
        <v>1</v>
      </c>
      <c r="Q14" s="5" t="s">
        <v>46</v>
      </c>
    </row>
    <row r="15" customFormat="false" ht="23" hidden="false" customHeight="true" outlineLevel="0" collapsed="false">
      <c r="A15" s="7" t="n">
        <v>45962</v>
      </c>
      <c r="B15" s="8" t="n">
        <v>2025</v>
      </c>
      <c r="C15" s="9" t="n">
        <v>1104000</v>
      </c>
      <c r="D15" s="9" t="n">
        <v>333400</v>
      </c>
      <c r="E15" s="10" t="n">
        <f aca="false">D15/C15</f>
        <v>0.301992753623188</v>
      </c>
      <c r="F15" s="11" t="n">
        <f aca="false">C15-D15</f>
        <v>770600</v>
      </c>
      <c r="G15" s="9" t="n">
        <v>125000</v>
      </c>
      <c r="H15" s="9" t="n">
        <v>65000</v>
      </c>
      <c r="I15" s="9" t="n">
        <v>20000</v>
      </c>
      <c r="J15" s="11" t="n">
        <f aca="false">D15-SUM(G15:I15)</f>
        <v>123400</v>
      </c>
      <c r="K15" s="9" t="n">
        <v>10000</v>
      </c>
      <c r="L15" s="11" t="n">
        <f aca="false">J15-K15</f>
        <v>113400</v>
      </c>
      <c r="M15" s="11" t="n">
        <f aca="false">L15*0.25</f>
        <v>28350</v>
      </c>
      <c r="N15" s="11" t="n">
        <f aca="false">L15-M15</f>
        <v>85050</v>
      </c>
      <c r="O15" s="1" t="s">
        <v>56</v>
      </c>
      <c r="P15" s="1" t="n">
        <v>1</v>
      </c>
      <c r="Q15" s="1" t="s">
        <v>46</v>
      </c>
    </row>
    <row r="16" customFormat="false" ht="23" hidden="false" customHeight="true" outlineLevel="0" collapsed="false">
      <c r="A16" s="12" t="n">
        <v>45992</v>
      </c>
      <c r="B16" s="13" t="n">
        <v>2025</v>
      </c>
      <c r="C16" s="14" t="n">
        <v>1248000</v>
      </c>
      <c r="D16" s="14" t="n">
        <v>373900</v>
      </c>
      <c r="E16" s="15" t="n">
        <f aca="false">D16/C16</f>
        <v>0.299599358974359</v>
      </c>
      <c r="F16" s="16" t="n">
        <f aca="false">C16-D16</f>
        <v>874100</v>
      </c>
      <c r="G16" s="14" t="n">
        <v>125000</v>
      </c>
      <c r="H16" s="14" t="n">
        <v>65000</v>
      </c>
      <c r="I16" s="14" t="n">
        <v>20000</v>
      </c>
      <c r="J16" s="16" t="n">
        <f aca="false">D16-SUM(G16:I16)</f>
        <v>163900</v>
      </c>
      <c r="K16" s="14" t="n">
        <v>10000</v>
      </c>
      <c r="L16" s="16" t="n">
        <f aca="false">J16-K16</f>
        <v>153900</v>
      </c>
      <c r="M16" s="16" t="n">
        <f aca="false">L16*0.25</f>
        <v>38475</v>
      </c>
      <c r="N16" s="16" t="n">
        <f aca="false">L16-M16</f>
        <v>115425</v>
      </c>
      <c r="O16" s="5" t="s">
        <v>57</v>
      </c>
      <c r="P16" s="5" t="n">
        <v>1</v>
      </c>
      <c r="Q16" s="5" t="s">
        <v>46</v>
      </c>
    </row>
    <row r="17" customFormat="false" ht="23" hidden="false" customHeight="true" outlineLevel="0" collapsed="false">
      <c r="A17" s="7" t="n">
        <v>46023</v>
      </c>
      <c r="B17" s="8" t="n">
        <v>2026</v>
      </c>
      <c r="C17" s="9" t="n">
        <v>986000</v>
      </c>
      <c r="D17" s="9" t="n">
        <v>282000</v>
      </c>
      <c r="E17" s="10" t="n">
        <f aca="false">D17/C17</f>
        <v>0.286004056795132</v>
      </c>
      <c r="F17" s="11" t="n">
        <f aca="false">C17-D17</f>
        <v>704000</v>
      </c>
      <c r="G17" s="9" t="n">
        <v>140000</v>
      </c>
      <c r="H17" s="9" t="n">
        <v>72000</v>
      </c>
      <c r="I17" s="9" t="n">
        <v>20000</v>
      </c>
      <c r="J17" s="11" t="n">
        <f aca="false">D17-SUM(G17:I17)</f>
        <v>50000</v>
      </c>
      <c r="K17" s="9" t="n">
        <v>10000</v>
      </c>
      <c r="L17" s="11" t="n">
        <f aca="false">J17-K17</f>
        <v>40000</v>
      </c>
      <c r="M17" s="11" t="n">
        <f aca="false">L17*0.25</f>
        <v>10000</v>
      </c>
      <c r="N17" s="11" t="n">
        <f aca="false">L17-M17</f>
        <v>30000</v>
      </c>
      <c r="O17" s="1" t="s">
        <v>58</v>
      </c>
      <c r="P17" s="1" t="n">
        <v>1</v>
      </c>
      <c r="Q17" s="1" t="s">
        <v>46</v>
      </c>
    </row>
    <row r="18" customFormat="false" ht="23" hidden="false" customHeight="true" outlineLevel="0" collapsed="false">
      <c r="A18" s="12" t="n">
        <v>46054</v>
      </c>
      <c r="B18" s="13" t="n">
        <v>2026</v>
      </c>
      <c r="C18" s="14" t="n">
        <v>1040000</v>
      </c>
      <c r="D18" s="14" t="n">
        <v>294300</v>
      </c>
      <c r="E18" s="15" t="n">
        <f aca="false">D18/C18</f>
        <v>0.282980769230769</v>
      </c>
      <c r="F18" s="16" t="n">
        <f aca="false">C18-D18</f>
        <v>745700</v>
      </c>
      <c r="G18" s="14" t="n">
        <v>140000</v>
      </c>
      <c r="H18" s="14" t="n">
        <v>72000</v>
      </c>
      <c r="I18" s="14" t="n">
        <v>20000</v>
      </c>
      <c r="J18" s="16" t="n">
        <f aca="false">D18-SUM(G18:I18)</f>
        <v>62300</v>
      </c>
      <c r="K18" s="14" t="n">
        <v>10000</v>
      </c>
      <c r="L18" s="16" t="n">
        <f aca="false">J18-K18</f>
        <v>52300</v>
      </c>
      <c r="M18" s="16" t="n">
        <f aca="false">L18*0.25</f>
        <v>13075</v>
      </c>
      <c r="N18" s="16" t="n">
        <f aca="false">L18-M18</f>
        <v>39225</v>
      </c>
      <c r="O18" s="5" t="s">
        <v>59</v>
      </c>
      <c r="P18" s="5" t="n">
        <v>1</v>
      </c>
      <c r="Q18" s="5" t="s">
        <v>46</v>
      </c>
    </row>
    <row r="19" customFormat="false" ht="23" hidden="false" customHeight="true" outlineLevel="0" collapsed="false">
      <c r="A19" s="7" t="n">
        <v>46082</v>
      </c>
      <c r="B19" s="8" t="n">
        <v>2026</v>
      </c>
      <c r="C19" s="9" t="n">
        <v>1067000</v>
      </c>
      <c r="D19" s="9" t="n">
        <v>299800</v>
      </c>
      <c r="E19" s="10" t="n">
        <f aca="false">D19/C19</f>
        <v>0.280974695407685</v>
      </c>
      <c r="F19" s="11" t="n">
        <f aca="false">C19-D19</f>
        <v>767200</v>
      </c>
      <c r="G19" s="9" t="n">
        <v>140000</v>
      </c>
      <c r="H19" s="9" t="n">
        <v>72000</v>
      </c>
      <c r="I19" s="9" t="n">
        <v>20000</v>
      </c>
      <c r="J19" s="11" t="n">
        <f aca="false">D19-SUM(G19:I19)</f>
        <v>67800</v>
      </c>
      <c r="K19" s="9" t="n">
        <v>10000</v>
      </c>
      <c r="L19" s="11" t="n">
        <f aca="false">J19-K19</f>
        <v>57800</v>
      </c>
      <c r="M19" s="11" t="n">
        <f aca="false">L19*0.25</f>
        <v>14450</v>
      </c>
      <c r="N19" s="11" t="n">
        <f aca="false">L19-M19</f>
        <v>43350</v>
      </c>
      <c r="O19" s="1" t="s">
        <v>60</v>
      </c>
      <c r="P19" s="1" t="n">
        <v>2</v>
      </c>
      <c r="Q19" s="1" t="s">
        <v>46</v>
      </c>
    </row>
    <row r="20" customFormat="false" ht="23" hidden="false" customHeight="true" outlineLevel="0" collapsed="false">
      <c r="A20" s="12" t="n">
        <v>46113</v>
      </c>
      <c r="B20" s="13" t="n">
        <v>2026</v>
      </c>
      <c r="C20" s="14" t="n">
        <v>1053000</v>
      </c>
      <c r="D20" s="14" t="n">
        <v>293800</v>
      </c>
      <c r="E20" s="15" t="n">
        <f aca="false">D20/C20</f>
        <v>0.279012345679012</v>
      </c>
      <c r="F20" s="16" t="n">
        <f aca="false">C20-D20</f>
        <v>759200</v>
      </c>
      <c r="G20" s="14" t="n">
        <v>140000</v>
      </c>
      <c r="H20" s="14" t="n">
        <v>72000</v>
      </c>
      <c r="I20" s="14" t="n">
        <v>20000</v>
      </c>
      <c r="J20" s="16" t="n">
        <f aca="false">D20-SUM(G20:I20)</f>
        <v>61800</v>
      </c>
      <c r="K20" s="14" t="n">
        <v>10000</v>
      </c>
      <c r="L20" s="16" t="n">
        <f aca="false">J20-K20</f>
        <v>51800</v>
      </c>
      <c r="M20" s="16" t="n">
        <f aca="false">L20*0.25</f>
        <v>12950</v>
      </c>
      <c r="N20" s="16" t="n">
        <f aca="false">L20-M20</f>
        <v>38850</v>
      </c>
      <c r="O20" s="5" t="s">
        <v>61</v>
      </c>
      <c r="P20" s="5" t="n">
        <v>2</v>
      </c>
      <c r="Q20" s="5" t="s">
        <v>46</v>
      </c>
    </row>
    <row r="21" customFormat="false" ht="23" hidden="false" customHeight="true" outlineLevel="0" collapsed="false">
      <c r="A21" s="7" t="n">
        <v>46143</v>
      </c>
      <c r="B21" s="8" t="n">
        <v>2026</v>
      </c>
      <c r="C21" s="9" t="n">
        <v>1107000</v>
      </c>
      <c r="D21" s="9" t="n">
        <v>306600</v>
      </c>
      <c r="E21" s="10" t="n">
        <f aca="false">D21/C21</f>
        <v>0.276964769647696</v>
      </c>
      <c r="F21" s="11" t="n">
        <f aca="false">C21-D21</f>
        <v>800400</v>
      </c>
      <c r="G21" s="9" t="n">
        <v>140000</v>
      </c>
      <c r="H21" s="9" t="n">
        <v>72000</v>
      </c>
      <c r="I21" s="9" t="n">
        <v>20000</v>
      </c>
      <c r="J21" s="11" t="n">
        <f aca="false">D21-SUM(G21:I21)</f>
        <v>74600</v>
      </c>
      <c r="K21" s="9" t="n">
        <v>10000</v>
      </c>
      <c r="L21" s="11" t="n">
        <f aca="false">J21-K21</f>
        <v>64600</v>
      </c>
      <c r="M21" s="11" t="n">
        <f aca="false">L21*0.25</f>
        <v>16150</v>
      </c>
      <c r="N21" s="11" t="n">
        <f aca="false">L21-M21</f>
        <v>48450</v>
      </c>
      <c r="O21" s="1" t="s">
        <v>62</v>
      </c>
      <c r="P21" s="1" t="n">
        <v>1</v>
      </c>
      <c r="Q21" s="1" t="s">
        <v>46</v>
      </c>
    </row>
    <row r="22" customFormat="false" ht="23" hidden="false" customHeight="true" outlineLevel="0" collapsed="false">
      <c r="A22" s="12" t="n">
        <v>46174</v>
      </c>
      <c r="B22" s="13" t="n">
        <v>2026</v>
      </c>
      <c r="C22" s="14" t="n">
        <v>1148000</v>
      </c>
      <c r="D22" s="14" t="n">
        <v>315700</v>
      </c>
      <c r="E22" s="15" t="n">
        <f aca="false">D22/C22</f>
        <v>0.275</v>
      </c>
      <c r="F22" s="16" t="n">
        <f aca="false">C22-D22</f>
        <v>832300</v>
      </c>
      <c r="G22" s="14" t="n">
        <v>140000</v>
      </c>
      <c r="H22" s="14" t="n">
        <v>72000</v>
      </c>
      <c r="I22" s="14" t="n">
        <v>20000</v>
      </c>
      <c r="J22" s="16" t="n">
        <f aca="false">D22-SUM(G22:I22)</f>
        <v>83700</v>
      </c>
      <c r="K22" s="14" t="n">
        <v>10000</v>
      </c>
      <c r="L22" s="16" t="n">
        <f aca="false">J22-K22</f>
        <v>73700</v>
      </c>
      <c r="M22" s="16" t="n">
        <f aca="false">L22*0.25</f>
        <v>18425</v>
      </c>
      <c r="N22" s="16" t="n">
        <f aca="false">L22-M22</f>
        <v>55275</v>
      </c>
      <c r="O22" s="5" t="s">
        <v>63</v>
      </c>
      <c r="P22" s="5" t="n">
        <v>1</v>
      </c>
      <c r="Q22" s="5" t="s">
        <v>46</v>
      </c>
    </row>
    <row r="23" customFormat="false" ht="23" hidden="false" customHeight="true" outlineLevel="0" collapsed="false">
      <c r="A23" s="7" t="n">
        <v>46204</v>
      </c>
      <c r="B23" s="8" t="n">
        <v>2026</v>
      </c>
      <c r="C23" s="9" t="n">
        <v>1094000</v>
      </c>
      <c r="D23" s="9" t="n">
        <v>298700</v>
      </c>
      <c r="E23" s="10" t="n">
        <f aca="false">D23/C23</f>
        <v>0.273034734917733</v>
      </c>
      <c r="F23" s="11" t="n">
        <f aca="false">C23-D23</f>
        <v>795300</v>
      </c>
      <c r="G23" s="9" t="n">
        <v>140000</v>
      </c>
      <c r="H23" s="9" t="n">
        <v>72000</v>
      </c>
      <c r="I23" s="9" t="n">
        <v>20000</v>
      </c>
      <c r="J23" s="11" t="n">
        <f aca="false">D23-SUM(G23:I23)</f>
        <v>66700</v>
      </c>
      <c r="K23" s="9" t="n">
        <v>10000</v>
      </c>
      <c r="L23" s="11" t="n">
        <f aca="false">J23-K23</f>
        <v>56700</v>
      </c>
      <c r="M23" s="11" t="n">
        <f aca="false">L23*0.25</f>
        <v>14175</v>
      </c>
      <c r="N23" s="11" t="n">
        <f aca="false">L23-M23</f>
        <v>42525</v>
      </c>
      <c r="O23" s="1" t="s">
        <v>64</v>
      </c>
      <c r="P23" s="1" t="n">
        <v>1</v>
      </c>
      <c r="Q23" s="1" t="s">
        <v>46</v>
      </c>
    </row>
    <row r="24" customFormat="false" ht="23" hidden="false" customHeight="true" outlineLevel="0" collapsed="false">
      <c r="A24" s="12" t="n">
        <v>46235</v>
      </c>
      <c r="B24" s="13" t="n">
        <v>2026</v>
      </c>
      <c r="C24" s="14" t="n">
        <v>1040000</v>
      </c>
      <c r="D24" s="14" t="n">
        <v>281800</v>
      </c>
      <c r="E24" s="15" t="n">
        <f aca="false">D24/C24</f>
        <v>0.270961538461538</v>
      </c>
      <c r="F24" s="16" t="n">
        <f aca="false">C24-D24</f>
        <v>758200</v>
      </c>
      <c r="G24" s="14" t="n">
        <v>140000</v>
      </c>
      <c r="H24" s="14" t="n">
        <v>72000</v>
      </c>
      <c r="I24" s="14" t="n">
        <v>20000</v>
      </c>
      <c r="J24" s="16" t="n">
        <f aca="false">D24-SUM(G24:I24)</f>
        <v>49800</v>
      </c>
      <c r="K24" s="14" t="n">
        <v>10000</v>
      </c>
      <c r="L24" s="16" t="n">
        <f aca="false">J24-K24</f>
        <v>39800</v>
      </c>
      <c r="M24" s="16" t="n">
        <f aca="false">L24*0.25</f>
        <v>9950</v>
      </c>
      <c r="N24" s="16" t="n">
        <f aca="false">L24-M24</f>
        <v>29850</v>
      </c>
      <c r="O24" s="5" t="s">
        <v>65</v>
      </c>
      <c r="P24" s="5" t="n">
        <v>1</v>
      </c>
      <c r="Q24" s="5" t="s">
        <v>46</v>
      </c>
    </row>
    <row r="25" customFormat="false" ht="23" hidden="false" customHeight="true" outlineLevel="0" collapsed="false">
      <c r="A25" s="7" t="n">
        <v>46266</v>
      </c>
      <c r="B25" s="8" t="n">
        <v>2026</v>
      </c>
      <c r="C25" s="9" t="n">
        <v>1134000</v>
      </c>
      <c r="D25" s="9" t="n">
        <v>305000</v>
      </c>
      <c r="E25" s="10" t="n">
        <f aca="false">D25/C25</f>
        <v>0.268959435626102</v>
      </c>
      <c r="F25" s="11" t="n">
        <f aca="false">C25-D25</f>
        <v>829000</v>
      </c>
      <c r="G25" s="9" t="n">
        <v>140000</v>
      </c>
      <c r="H25" s="9" t="n">
        <v>72000</v>
      </c>
      <c r="I25" s="9" t="n">
        <v>20000</v>
      </c>
      <c r="J25" s="11" t="n">
        <f aca="false">D25-SUM(G25:I25)</f>
        <v>73000</v>
      </c>
      <c r="K25" s="9" t="n">
        <v>10000</v>
      </c>
      <c r="L25" s="11" t="n">
        <f aca="false">J25-K25</f>
        <v>63000</v>
      </c>
      <c r="M25" s="11" t="n">
        <f aca="false">L25*0.25</f>
        <v>15750</v>
      </c>
      <c r="N25" s="11" t="n">
        <f aca="false">L25-M25</f>
        <v>47250</v>
      </c>
      <c r="O25" s="1" t="s">
        <v>66</v>
      </c>
      <c r="P25" s="1" t="n">
        <v>1</v>
      </c>
      <c r="Q25" s="1" t="s">
        <v>46</v>
      </c>
    </row>
    <row r="26" customFormat="false" ht="23" hidden="false" customHeight="true" outlineLevel="0" collapsed="false">
      <c r="A26" s="12" t="n">
        <v>46296</v>
      </c>
      <c r="B26" s="13" t="n">
        <v>2026</v>
      </c>
      <c r="C26" s="14" t="n">
        <v>1215000</v>
      </c>
      <c r="D26" s="14" t="n">
        <v>324400</v>
      </c>
      <c r="E26" s="15" t="n">
        <f aca="false">D26/C26</f>
        <v>0.266995884773663</v>
      </c>
      <c r="F26" s="16" t="n">
        <f aca="false">C26-D26</f>
        <v>890600</v>
      </c>
      <c r="G26" s="14" t="n">
        <v>140000</v>
      </c>
      <c r="H26" s="14" t="n">
        <v>72000</v>
      </c>
      <c r="I26" s="14" t="n">
        <v>20000</v>
      </c>
      <c r="J26" s="16" t="n">
        <f aca="false">D26-SUM(G26:I26)</f>
        <v>92400</v>
      </c>
      <c r="K26" s="14" t="n">
        <v>10000</v>
      </c>
      <c r="L26" s="16" t="n">
        <f aca="false">J26-K26</f>
        <v>82400</v>
      </c>
      <c r="M26" s="16" t="n">
        <f aca="false">L26*0.25</f>
        <v>20600</v>
      </c>
      <c r="N26" s="16" t="n">
        <f aca="false">L26-M26</f>
        <v>61800</v>
      </c>
      <c r="O26" s="5" t="s">
        <v>67</v>
      </c>
      <c r="P26" s="5" t="n">
        <v>1</v>
      </c>
      <c r="Q26" s="5" t="s">
        <v>46</v>
      </c>
    </row>
    <row r="27" customFormat="false" ht="23" hidden="false" customHeight="true" outlineLevel="0" collapsed="false">
      <c r="A27" s="7" t="n">
        <v>46327</v>
      </c>
      <c r="B27" s="8" t="n">
        <v>2026</v>
      </c>
      <c r="C27" s="9" t="n">
        <v>1269000</v>
      </c>
      <c r="D27" s="9" t="n">
        <v>336300</v>
      </c>
      <c r="E27" s="10" t="n">
        <f aca="false">D27/C27</f>
        <v>0.265011820330969</v>
      </c>
      <c r="F27" s="11" t="n">
        <f aca="false">C27-D27</f>
        <v>932700</v>
      </c>
      <c r="G27" s="9" t="n">
        <v>140000</v>
      </c>
      <c r="H27" s="9" t="n">
        <v>72000</v>
      </c>
      <c r="I27" s="9" t="n">
        <v>20000</v>
      </c>
      <c r="J27" s="11" t="n">
        <f aca="false">D27-SUM(G27:I27)</f>
        <v>104300</v>
      </c>
      <c r="K27" s="9" t="n">
        <v>10000</v>
      </c>
      <c r="L27" s="11" t="n">
        <f aca="false">J27-K27</f>
        <v>94300</v>
      </c>
      <c r="M27" s="11" t="n">
        <f aca="false">L27*0.25</f>
        <v>23575</v>
      </c>
      <c r="N27" s="11" t="n">
        <f aca="false">L27-M27</f>
        <v>70725</v>
      </c>
      <c r="O27" s="1" t="s">
        <v>68</v>
      </c>
      <c r="P27" s="1" t="n">
        <v>1</v>
      </c>
      <c r="Q27" s="1" t="s">
        <v>46</v>
      </c>
    </row>
    <row r="28" customFormat="false" ht="23" hidden="false" customHeight="true" outlineLevel="0" collapsed="false">
      <c r="A28" s="12" t="n">
        <v>46357</v>
      </c>
      <c r="B28" s="13" t="n">
        <v>2026</v>
      </c>
      <c r="C28" s="14" t="n">
        <v>1347000</v>
      </c>
      <c r="D28" s="14" t="n">
        <v>374100</v>
      </c>
      <c r="E28" s="15" t="n">
        <f aca="false">D28/C28</f>
        <v>0.277728285077951</v>
      </c>
      <c r="F28" s="16" t="n">
        <f aca="false">C28-D28</f>
        <v>972900</v>
      </c>
      <c r="G28" s="14" t="n">
        <v>140000</v>
      </c>
      <c r="H28" s="14" t="n">
        <v>72000</v>
      </c>
      <c r="I28" s="14" t="n">
        <v>20000</v>
      </c>
      <c r="J28" s="16" t="n">
        <f aca="false">D28-SUM(G28:I28)</f>
        <v>142100</v>
      </c>
      <c r="K28" s="14" t="n">
        <v>10000</v>
      </c>
      <c r="L28" s="16" t="n">
        <f aca="false">J28-K28</f>
        <v>132100</v>
      </c>
      <c r="M28" s="16" t="n">
        <f aca="false">L28*0.25</f>
        <v>33025</v>
      </c>
      <c r="N28" s="16" t="n">
        <f aca="false">L28-M28</f>
        <v>99075</v>
      </c>
      <c r="O28" s="5" t="s">
        <v>69</v>
      </c>
      <c r="P28" s="5" t="n">
        <v>1</v>
      </c>
      <c r="Q28" s="5" t="s">
        <v>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3.0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7" min="4" style="0" width="13.02"/>
    <col collapsed="false" customWidth="true" hidden="false" outlineLevel="0" max="8" min="8" style="0" width="19.99"/>
    <col collapsed="false" customWidth="true" hidden="false" outlineLevel="0" max="9" min="9" style="0" width="22.01"/>
    <col collapsed="false" customWidth="true" hidden="false" outlineLevel="0" max="10" min="10" style="0" width="19.99"/>
    <col collapsed="false" customWidth="true" hidden="false" outlineLevel="0" max="11" min="11" style="0" width="13.02"/>
    <col collapsed="false" customWidth="true" hidden="false" outlineLevel="0" max="12" min="12" style="0" width="18"/>
    <col collapsed="false" customWidth="true" hidden="false" outlineLevel="0" max="14" min="13" style="0" width="13.02"/>
    <col collapsed="false" customWidth="true" hidden="false" outlineLevel="0" max="15" min="15" style="0" width="22.01"/>
    <col collapsed="false" customWidth="true" hidden="false" outlineLevel="0" max="16" min="16" style="0" width="13.02"/>
    <col collapsed="false" customWidth="true" hidden="false" outlineLevel="0" max="17" min="17" style="0" width="18"/>
    <col collapsed="false" customWidth="true" hidden="false" outlineLevel="0" max="18" min="18" style="0" width="22.01"/>
    <col collapsed="false" customWidth="true" hidden="false" outlineLevel="0" max="19" min="19" style="0" width="16"/>
    <col collapsed="false" customWidth="true" hidden="false" outlineLevel="0" max="1025" min="20" style="0" width="8.45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3" hidden="false" customHeight="true" outlineLevel="0" collapsed="false">
      <c r="A2" s="2" t="s">
        <v>70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2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32" hidden="false" customHeight="true" outlineLevel="0" collapsed="false">
      <c r="A4" s="3" t="s">
        <v>28</v>
      </c>
      <c r="B4" s="3" t="s">
        <v>29</v>
      </c>
      <c r="C4" s="3" t="s">
        <v>71</v>
      </c>
      <c r="D4" s="3" t="s">
        <v>72</v>
      </c>
      <c r="E4" s="3" t="s">
        <v>73</v>
      </c>
      <c r="F4" s="3" t="s">
        <v>74</v>
      </c>
      <c r="G4" s="3" t="s">
        <v>75</v>
      </c>
      <c r="H4" s="3" t="s">
        <v>76</v>
      </c>
      <c r="I4" s="3" t="s">
        <v>77</v>
      </c>
      <c r="J4" s="3" t="s">
        <v>78</v>
      </c>
      <c r="K4" s="3" t="s">
        <v>79</v>
      </c>
      <c r="L4" s="3" t="s">
        <v>80</v>
      </c>
      <c r="M4" s="3" t="s">
        <v>81</v>
      </c>
      <c r="N4" s="3" t="s">
        <v>82</v>
      </c>
      <c r="O4" s="3" t="s">
        <v>83</v>
      </c>
      <c r="P4" s="3" t="s">
        <v>84</v>
      </c>
      <c r="Q4" s="3" t="s">
        <v>85</v>
      </c>
      <c r="R4" s="3" t="s">
        <v>42</v>
      </c>
      <c r="S4" s="3" t="s">
        <v>44</v>
      </c>
    </row>
    <row r="5" customFormat="false" ht="23" hidden="false" customHeight="true" outlineLevel="0" collapsed="false">
      <c r="A5" s="7" t="n">
        <v>45688</v>
      </c>
      <c r="B5" s="8" t="n">
        <v>2025</v>
      </c>
      <c r="C5" s="9" t="n">
        <v>1390000</v>
      </c>
      <c r="D5" s="9" t="n">
        <v>1090000</v>
      </c>
      <c r="E5" s="9" t="n">
        <v>940000</v>
      </c>
      <c r="F5" s="11" t="n">
        <f aca="false">C5+D5-E5</f>
        <v>1540000</v>
      </c>
      <c r="G5" s="11" t="n">
        <f aca="false">P5-SUM(C5:D5)-H5-I5</f>
        <v>1598850</v>
      </c>
      <c r="H5" s="9" t="n">
        <v>2010000</v>
      </c>
      <c r="I5" s="9" t="n">
        <v>100000</v>
      </c>
      <c r="J5" s="11" t="n">
        <f aca="false">SUM(C5:D5)+SUM(G5:I5)</f>
        <v>6188850</v>
      </c>
      <c r="K5" s="9" t="n">
        <v>150000</v>
      </c>
      <c r="L5" s="9" t="n">
        <v>80000</v>
      </c>
      <c r="M5" s="9" t="n">
        <v>2000000</v>
      </c>
      <c r="N5" s="9" t="n">
        <v>1000000</v>
      </c>
      <c r="O5" s="17" t="n">
        <f aca="false">2000000+'Management PL'!N5-20000</f>
        <v>2018850</v>
      </c>
      <c r="P5" s="11" t="n">
        <f aca="false">E5+SUM(K5:O5)</f>
        <v>6188850</v>
      </c>
      <c r="Q5" s="11" t="n">
        <f aca="false">J5-P5</f>
        <v>0</v>
      </c>
      <c r="R5" s="1" t="s">
        <v>86</v>
      </c>
      <c r="S5" s="1" t="s">
        <v>87</v>
      </c>
    </row>
    <row r="6" customFormat="false" ht="23" hidden="false" customHeight="true" outlineLevel="0" collapsed="false">
      <c r="A6" s="12" t="n">
        <v>45716</v>
      </c>
      <c r="B6" s="13" t="n">
        <v>2025</v>
      </c>
      <c r="C6" s="14" t="n">
        <v>1400000</v>
      </c>
      <c r="D6" s="14" t="n">
        <v>1100000</v>
      </c>
      <c r="E6" s="14" t="n">
        <v>950000</v>
      </c>
      <c r="F6" s="16" t="n">
        <f aca="false">C6+D6-E6</f>
        <v>1550000</v>
      </c>
      <c r="G6" s="16" t="n">
        <f aca="false">P6-SUM(C6:D6)-H6-I6</f>
        <v>1605125</v>
      </c>
      <c r="H6" s="14" t="n">
        <v>2020000</v>
      </c>
      <c r="I6" s="14" t="n">
        <v>100000</v>
      </c>
      <c r="J6" s="16" t="n">
        <f aca="false">SUM(C6:D6)+SUM(G6:I6)</f>
        <v>6225125</v>
      </c>
      <c r="K6" s="14" t="n">
        <v>150000</v>
      </c>
      <c r="L6" s="14" t="n">
        <v>80000</v>
      </c>
      <c r="M6" s="14" t="n">
        <v>2000000</v>
      </c>
      <c r="N6" s="14" t="n">
        <v>1000000</v>
      </c>
      <c r="O6" s="18" t="n">
        <f aca="false">O5+'Management PL'!N6-20000</f>
        <v>2045125</v>
      </c>
      <c r="P6" s="16" t="n">
        <f aca="false">E6+SUM(K6:O6)</f>
        <v>6225125</v>
      </c>
      <c r="Q6" s="16" t="n">
        <f aca="false">J6-P6</f>
        <v>0</v>
      </c>
      <c r="R6" s="5" t="s">
        <v>88</v>
      </c>
      <c r="S6" s="5" t="s">
        <v>87</v>
      </c>
    </row>
    <row r="7" customFormat="false" ht="23" hidden="false" customHeight="true" outlineLevel="0" collapsed="false">
      <c r="A7" s="7" t="n">
        <v>45747</v>
      </c>
      <c r="B7" s="8" t="n">
        <v>2025</v>
      </c>
      <c r="C7" s="9" t="n">
        <v>1410000</v>
      </c>
      <c r="D7" s="9" t="n">
        <v>1110000</v>
      </c>
      <c r="E7" s="9" t="n">
        <v>960000</v>
      </c>
      <c r="F7" s="11" t="n">
        <f aca="false">C7+D7-E7</f>
        <v>1560000</v>
      </c>
      <c r="G7" s="11" t="n">
        <f aca="false">P7-SUM(C7:D7)-H7-I7</f>
        <v>1618825</v>
      </c>
      <c r="H7" s="9" t="n">
        <v>2030000</v>
      </c>
      <c r="I7" s="9" t="n">
        <v>100000</v>
      </c>
      <c r="J7" s="11" t="n">
        <f aca="false">SUM(C7:D7)+SUM(G7:I7)</f>
        <v>6268825</v>
      </c>
      <c r="K7" s="9" t="n">
        <v>150000</v>
      </c>
      <c r="L7" s="9" t="n">
        <v>80000</v>
      </c>
      <c r="M7" s="9" t="n">
        <v>2000000</v>
      </c>
      <c r="N7" s="9" t="n">
        <v>1000000</v>
      </c>
      <c r="O7" s="17" t="n">
        <f aca="false">O6+'Management PL'!N7-20000</f>
        <v>2078825</v>
      </c>
      <c r="P7" s="11" t="n">
        <f aca="false">E7+SUM(K7:O7)</f>
        <v>6268825</v>
      </c>
      <c r="Q7" s="11" t="n">
        <f aca="false">J7-P7</f>
        <v>0</v>
      </c>
      <c r="R7" s="1" t="s">
        <v>89</v>
      </c>
      <c r="S7" s="1" t="s">
        <v>87</v>
      </c>
    </row>
    <row r="8" customFormat="false" ht="23" hidden="false" customHeight="true" outlineLevel="0" collapsed="false">
      <c r="A8" s="12" t="n">
        <v>45777</v>
      </c>
      <c r="B8" s="13" t="n">
        <v>2025</v>
      </c>
      <c r="C8" s="14" t="n">
        <v>1420000</v>
      </c>
      <c r="D8" s="14" t="n">
        <v>1120000</v>
      </c>
      <c r="E8" s="14" t="n">
        <v>970000</v>
      </c>
      <c r="F8" s="16" t="n">
        <f aca="false">C8+D8-E8</f>
        <v>1570000</v>
      </c>
      <c r="G8" s="16" t="n">
        <f aca="false">P8-SUM(C8:D8)-H8-I8</f>
        <v>1626450</v>
      </c>
      <c r="H8" s="14" t="n">
        <v>2040000</v>
      </c>
      <c r="I8" s="14" t="n">
        <v>100000</v>
      </c>
      <c r="J8" s="16" t="n">
        <f aca="false">SUM(C8:D8)+SUM(G8:I8)</f>
        <v>6306450</v>
      </c>
      <c r="K8" s="14" t="n">
        <v>150000</v>
      </c>
      <c r="L8" s="14" t="n">
        <v>80000</v>
      </c>
      <c r="M8" s="14" t="n">
        <v>2000000</v>
      </c>
      <c r="N8" s="14" t="n">
        <v>1000000</v>
      </c>
      <c r="O8" s="18" t="n">
        <f aca="false">O7+'Management PL'!N8-20000</f>
        <v>2106450</v>
      </c>
      <c r="P8" s="16" t="n">
        <f aca="false">E8+SUM(K8:O8)</f>
        <v>6306450</v>
      </c>
      <c r="Q8" s="16" t="n">
        <f aca="false">J8-P8</f>
        <v>0</v>
      </c>
      <c r="R8" s="5" t="s">
        <v>90</v>
      </c>
      <c r="S8" s="5" t="s">
        <v>87</v>
      </c>
    </row>
    <row r="9" customFormat="false" ht="23" hidden="false" customHeight="true" outlineLevel="0" collapsed="false">
      <c r="A9" s="7" t="n">
        <v>45808</v>
      </c>
      <c r="B9" s="8" t="n">
        <v>2025</v>
      </c>
      <c r="C9" s="9" t="n">
        <v>1430000</v>
      </c>
      <c r="D9" s="9" t="n">
        <v>1130000</v>
      </c>
      <c r="E9" s="9" t="n">
        <v>980000</v>
      </c>
      <c r="F9" s="11" t="n">
        <f aca="false">C9+D9-E9</f>
        <v>1580000</v>
      </c>
      <c r="G9" s="11" t="n">
        <f aca="false">P9-SUM(C9:D9)-H9-I9</f>
        <v>1643600</v>
      </c>
      <c r="H9" s="9" t="n">
        <v>2050000</v>
      </c>
      <c r="I9" s="9" t="n">
        <v>100000</v>
      </c>
      <c r="J9" s="11" t="n">
        <f aca="false">SUM(C9:D9)+SUM(G9:I9)</f>
        <v>6353600</v>
      </c>
      <c r="K9" s="9" t="n">
        <v>150000</v>
      </c>
      <c r="L9" s="9" t="n">
        <v>80000</v>
      </c>
      <c r="M9" s="9" t="n">
        <v>2000000</v>
      </c>
      <c r="N9" s="9" t="n">
        <v>1000000</v>
      </c>
      <c r="O9" s="17" t="n">
        <f aca="false">O8+'Management PL'!N9-20000</f>
        <v>2143600</v>
      </c>
      <c r="P9" s="11" t="n">
        <f aca="false">E9+SUM(K9:O9)</f>
        <v>6353600</v>
      </c>
      <c r="Q9" s="11" t="n">
        <f aca="false">J9-P9</f>
        <v>0</v>
      </c>
      <c r="R9" s="1" t="s">
        <v>91</v>
      </c>
      <c r="S9" s="1" t="s">
        <v>87</v>
      </c>
    </row>
    <row r="10" customFormat="false" ht="23" hidden="false" customHeight="true" outlineLevel="0" collapsed="false">
      <c r="A10" s="12" t="n">
        <v>45838</v>
      </c>
      <c r="B10" s="13" t="n">
        <v>2025</v>
      </c>
      <c r="C10" s="14" t="n">
        <v>1440000</v>
      </c>
      <c r="D10" s="14" t="n">
        <v>1140000</v>
      </c>
      <c r="E10" s="14" t="n">
        <v>990000</v>
      </c>
      <c r="F10" s="16" t="n">
        <f aca="false">C10+D10-E10</f>
        <v>1590000</v>
      </c>
      <c r="G10" s="16" t="n">
        <f aca="false">P10-SUM(C10:D10)-H10-I10</f>
        <v>1665400</v>
      </c>
      <c r="H10" s="14" t="n">
        <v>2060000</v>
      </c>
      <c r="I10" s="14" t="n">
        <v>100000</v>
      </c>
      <c r="J10" s="16" t="n">
        <f aca="false">SUM(C10:D10)+SUM(G10:I10)</f>
        <v>6405400</v>
      </c>
      <c r="K10" s="14" t="n">
        <v>150000</v>
      </c>
      <c r="L10" s="14" t="n">
        <v>80000</v>
      </c>
      <c r="M10" s="14" t="n">
        <v>2000000</v>
      </c>
      <c r="N10" s="14" t="n">
        <v>1000000</v>
      </c>
      <c r="O10" s="18" t="n">
        <f aca="false">O9+'Management PL'!N10-20000</f>
        <v>2185400</v>
      </c>
      <c r="P10" s="16" t="n">
        <f aca="false">E10+SUM(K10:O10)</f>
        <v>6405400</v>
      </c>
      <c r="Q10" s="16" t="n">
        <f aca="false">J10-P10</f>
        <v>0</v>
      </c>
      <c r="R10" s="5" t="s">
        <v>92</v>
      </c>
      <c r="S10" s="5" t="s">
        <v>87</v>
      </c>
    </row>
    <row r="11" customFormat="false" ht="23" hidden="false" customHeight="true" outlineLevel="0" collapsed="false">
      <c r="A11" s="7" t="n">
        <v>45869</v>
      </c>
      <c r="B11" s="8" t="n">
        <v>2025</v>
      </c>
      <c r="C11" s="9" t="n">
        <v>1450000</v>
      </c>
      <c r="D11" s="9" t="n">
        <v>1150000</v>
      </c>
      <c r="E11" s="9" t="n">
        <v>1000000</v>
      </c>
      <c r="F11" s="11" t="n">
        <f aca="false">C11+D11-E11</f>
        <v>1600000</v>
      </c>
      <c r="G11" s="11" t="n">
        <f aca="false">P11-SUM(C11:D11)-H11-I11</f>
        <v>1672275</v>
      </c>
      <c r="H11" s="9" t="n">
        <v>2070000</v>
      </c>
      <c r="I11" s="9" t="n">
        <v>100000</v>
      </c>
      <c r="J11" s="11" t="n">
        <f aca="false">SUM(C11:D11)+SUM(G11:I11)</f>
        <v>6442275</v>
      </c>
      <c r="K11" s="9" t="n">
        <v>150000</v>
      </c>
      <c r="L11" s="9" t="n">
        <v>80000</v>
      </c>
      <c r="M11" s="9" t="n">
        <v>2000000</v>
      </c>
      <c r="N11" s="9" t="n">
        <v>1000000</v>
      </c>
      <c r="O11" s="17" t="n">
        <f aca="false">O10+'Management PL'!N11-20000</f>
        <v>2212275</v>
      </c>
      <c r="P11" s="11" t="n">
        <f aca="false">E11+SUM(K11:O11)</f>
        <v>6442275</v>
      </c>
      <c r="Q11" s="11" t="n">
        <f aca="false">J11-P11</f>
        <v>0</v>
      </c>
      <c r="R11" s="1" t="s">
        <v>93</v>
      </c>
      <c r="S11" s="1" t="s">
        <v>87</v>
      </c>
    </row>
    <row r="12" customFormat="false" ht="23" hidden="false" customHeight="true" outlineLevel="0" collapsed="false">
      <c r="A12" s="12" t="n">
        <v>45900</v>
      </c>
      <c r="B12" s="13" t="n">
        <v>2025</v>
      </c>
      <c r="C12" s="14" t="n">
        <v>1460000</v>
      </c>
      <c r="D12" s="14" t="n">
        <v>1160000</v>
      </c>
      <c r="E12" s="14" t="n">
        <v>1010000</v>
      </c>
      <c r="F12" s="16" t="n">
        <f aca="false">C12+D12-E12</f>
        <v>1610000</v>
      </c>
      <c r="G12" s="16" t="n">
        <f aca="false">P12-SUM(C12:D12)-H12-I12</f>
        <v>1667750</v>
      </c>
      <c r="H12" s="14" t="n">
        <v>2080000</v>
      </c>
      <c r="I12" s="14" t="n">
        <v>100000</v>
      </c>
      <c r="J12" s="16" t="n">
        <f aca="false">SUM(C12:D12)+SUM(G12:I12)</f>
        <v>6467750</v>
      </c>
      <c r="K12" s="14" t="n">
        <v>150000</v>
      </c>
      <c r="L12" s="14" t="n">
        <v>80000</v>
      </c>
      <c r="M12" s="14" t="n">
        <v>2000000</v>
      </c>
      <c r="N12" s="14" t="n">
        <v>1000000</v>
      </c>
      <c r="O12" s="18" t="n">
        <f aca="false">O11+'Management PL'!N12-20000</f>
        <v>2227750</v>
      </c>
      <c r="P12" s="16" t="n">
        <f aca="false">E12+SUM(K12:O12)</f>
        <v>6467750</v>
      </c>
      <c r="Q12" s="16" t="n">
        <f aca="false">J12-P12</f>
        <v>0</v>
      </c>
      <c r="R12" s="5" t="s">
        <v>94</v>
      </c>
      <c r="S12" s="5" t="s">
        <v>87</v>
      </c>
    </row>
    <row r="13" customFormat="false" ht="23" hidden="false" customHeight="true" outlineLevel="0" collapsed="false">
      <c r="A13" s="7" t="n">
        <v>45930</v>
      </c>
      <c r="B13" s="8" t="n">
        <v>2025</v>
      </c>
      <c r="C13" s="9" t="n">
        <v>1470000</v>
      </c>
      <c r="D13" s="9" t="n">
        <v>1170000</v>
      </c>
      <c r="E13" s="9" t="n">
        <v>1020000</v>
      </c>
      <c r="F13" s="11" t="n">
        <f aca="false">C13+D13-E13</f>
        <v>1620000</v>
      </c>
      <c r="G13" s="11" t="n">
        <f aca="false">P13-SUM(C13:D13)-H13-I13</f>
        <v>1686100</v>
      </c>
      <c r="H13" s="9" t="n">
        <v>2090000</v>
      </c>
      <c r="I13" s="9" t="n">
        <v>100000</v>
      </c>
      <c r="J13" s="11" t="n">
        <f aca="false">SUM(C13:D13)+SUM(G13:I13)</f>
        <v>6516100</v>
      </c>
      <c r="K13" s="9" t="n">
        <v>150000</v>
      </c>
      <c r="L13" s="9" t="n">
        <v>80000</v>
      </c>
      <c r="M13" s="9" t="n">
        <v>2000000</v>
      </c>
      <c r="N13" s="9" t="n">
        <v>1000000</v>
      </c>
      <c r="O13" s="17" t="n">
        <f aca="false">O12+'Management PL'!N13-20000</f>
        <v>2266100</v>
      </c>
      <c r="P13" s="11" t="n">
        <f aca="false">E13+SUM(K13:O13)</f>
        <v>6516100</v>
      </c>
      <c r="Q13" s="11" t="n">
        <f aca="false">J13-P13</f>
        <v>0</v>
      </c>
      <c r="R13" s="1" t="s">
        <v>95</v>
      </c>
      <c r="S13" s="1" t="s">
        <v>87</v>
      </c>
    </row>
    <row r="14" customFormat="false" ht="23" hidden="false" customHeight="true" outlineLevel="0" collapsed="false">
      <c r="A14" s="12" t="n">
        <v>45961</v>
      </c>
      <c r="B14" s="13" t="n">
        <v>2025</v>
      </c>
      <c r="C14" s="14" t="n">
        <v>1480000</v>
      </c>
      <c r="D14" s="14" t="n">
        <v>1180000</v>
      </c>
      <c r="E14" s="14" t="n">
        <v>1030000</v>
      </c>
      <c r="F14" s="16" t="n">
        <f aca="false">C14+D14-E14</f>
        <v>1630000</v>
      </c>
      <c r="G14" s="16" t="n">
        <f aca="false">P14-SUM(C14:D14)-H14-I14</f>
        <v>1719525</v>
      </c>
      <c r="H14" s="14" t="n">
        <v>2100000</v>
      </c>
      <c r="I14" s="14" t="n">
        <v>100000</v>
      </c>
      <c r="J14" s="16" t="n">
        <f aca="false">SUM(C14:D14)+SUM(G14:I14)</f>
        <v>6579525</v>
      </c>
      <c r="K14" s="14" t="n">
        <v>150000</v>
      </c>
      <c r="L14" s="14" t="n">
        <v>80000</v>
      </c>
      <c r="M14" s="14" t="n">
        <v>2000000</v>
      </c>
      <c r="N14" s="14" t="n">
        <v>1000000</v>
      </c>
      <c r="O14" s="18" t="n">
        <f aca="false">O13+'Management PL'!N14-20000</f>
        <v>2319525</v>
      </c>
      <c r="P14" s="16" t="n">
        <f aca="false">E14+SUM(K14:O14)</f>
        <v>6579525</v>
      </c>
      <c r="Q14" s="16" t="n">
        <f aca="false">J14-P14</f>
        <v>0</v>
      </c>
      <c r="R14" s="5" t="s">
        <v>96</v>
      </c>
      <c r="S14" s="5" t="s">
        <v>87</v>
      </c>
    </row>
    <row r="15" customFormat="false" ht="23" hidden="false" customHeight="true" outlineLevel="0" collapsed="false">
      <c r="A15" s="7" t="n">
        <v>45991</v>
      </c>
      <c r="B15" s="8" t="n">
        <v>2025</v>
      </c>
      <c r="C15" s="9" t="n">
        <v>1490000</v>
      </c>
      <c r="D15" s="9" t="n">
        <v>1190000</v>
      </c>
      <c r="E15" s="9" t="n">
        <v>1040000</v>
      </c>
      <c r="F15" s="11" t="n">
        <f aca="false">C15+D15-E15</f>
        <v>1640000</v>
      </c>
      <c r="G15" s="11" t="n">
        <f aca="false">P15-SUM(C15:D15)-H15-I15</f>
        <v>1764575</v>
      </c>
      <c r="H15" s="9" t="n">
        <v>2110000</v>
      </c>
      <c r="I15" s="9" t="n">
        <v>100000</v>
      </c>
      <c r="J15" s="11" t="n">
        <f aca="false">SUM(C15:D15)+SUM(G15:I15)</f>
        <v>6654575</v>
      </c>
      <c r="K15" s="9" t="n">
        <v>150000</v>
      </c>
      <c r="L15" s="9" t="n">
        <v>80000</v>
      </c>
      <c r="M15" s="9" t="n">
        <v>2000000</v>
      </c>
      <c r="N15" s="9" t="n">
        <v>1000000</v>
      </c>
      <c r="O15" s="17" t="n">
        <f aca="false">O14+'Management PL'!N15-20000</f>
        <v>2384575</v>
      </c>
      <c r="P15" s="11" t="n">
        <f aca="false">E15+SUM(K15:O15)</f>
        <v>6654575</v>
      </c>
      <c r="Q15" s="11" t="n">
        <f aca="false">J15-P15</f>
        <v>0</v>
      </c>
      <c r="R15" s="1" t="s">
        <v>97</v>
      </c>
      <c r="S15" s="1" t="s">
        <v>87</v>
      </c>
    </row>
    <row r="16" customFormat="false" ht="23" hidden="false" customHeight="true" outlineLevel="0" collapsed="false">
      <c r="A16" s="12" t="n">
        <v>46022</v>
      </c>
      <c r="B16" s="13" t="n">
        <v>2025</v>
      </c>
      <c r="C16" s="14" t="n">
        <v>1500000</v>
      </c>
      <c r="D16" s="14" t="n">
        <v>1200000</v>
      </c>
      <c r="E16" s="14" t="n">
        <v>1050000</v>
      </c>
      <c r="F16" s="16" t="n">
        <f aca="false">C16+D16-E16</f>
        <v>1650000</v>
      </c>
      <c r="G16" s="16" t="n">
        <f aca="false">P16-SUM(C16:D16)-H16-I16</f>
        <v>1840000</v>
      </c>
      <c r="H16" s="14" t="n">
        <v>2120000</v>
      </c>
      <c r="I16" s="14" t="n">
        <v>100000</v>
      </c>
      <c r="J16" s="16" t="n">
        <f aca="false">SUM(C16:D16)+SUM(G16:I16)</f>
        <v>6760000</v>
      </c>
      <c r="K16" s="14" t="n">
        <v>150000</v>
      </c>
      <c r="L16" s="14" t="n">
        <v>80000</v>
      </c>
      <c r="M16" s="14" t="n">
        <v>2000000</v>
      </c>
      <c r="N16" s="14" t="n">
        <v>1000000</v>
      </c>
      <c r="O16" s="18" t="n">
        <f aca="false">O15+'Management PL'!N16-20000</f>
        <v>2480000</v>
      </c>
      <c r="P16" s="16" t="n">
        <f aca="false">E16+SUM(K16:O16)</f>
        <v>6760000</v>
      </c>
      <c r="Q16" s="16" t="n">
        <f aca="false">J16-P16</f>
        <v>0</v>
      </c>
      <c r="R16" s="5" t="s">
        <v>98</v>
      </c>
      <c r="S16" s="5" t="s">
        <v>87</v>
      </c>
    </row>
    <row r="17" customFormat="false" ht="23" hidden="false" customHeight="true" outlineLevel="0" collapsed="false">
      <c r="A17" s="7" t="n">
        <v>46053</v>
      </c>
      <c r="B17" s="8" t="n">
        <v>2026</v>
      </c>
      <c r="C17" s="9" t="n">
        <v>1536667</v>
      </c>
      <c r="D17" s="9" t="n">
        <v>1223333</v>
      </c>
      <c r="E17" s="9" t="n">
        <v>1063333</v>
      </c>
      <c r="F17" s="11" t="n">
        <f aca="false">C17+D17-E17</f>
        <v>1696667</v>
      </c>
      <c r="G17" s="11" t="n">
        <f aca="false">P17-SUM(C17:D17)-H17-I17</f>
        <v>1793333</v>
      </c>
      <c r="H17" s="9" t="n">
        <v>2130000</v>
      </c>
      <c r="I17" s="9" t="n">
        <v>100000</v>
      </c>
      <c r="J17" s="11" t="n">
        <f aca="false">SUM(C17:D17)+SUM(G17:I17)</f>
        <v>6783333</v>
      </c>
      <c r="K17" s="9" t="n">
        <v>150000</v>
      </c>
      <c r="L17" s="9" t="n">
        <v>80000</v>
      </c>
      <c r="M17" s="9" t="n">
        <v>2000000</v>
      </c>
      <c r="N17" s="9" t="n">
        <v>1000000</v>
      </c>
      <c r="O17" s="17" t="n">
        <f aca="false">O16+'Management PL'!N17-20000</f>
        <v>2490000</v>
      </c>
      <c r="P17" s="11" t="n">
        <f aca="false">E17+SUM(K17:O17)</f>
        <v>6783333</v>
      </c>
      <c r="Q17" s="11" t="n">
        <f aca="false">J17-P17</f>
        <v>0</v>
      </c>
      <c r="R17" s="1" t="s">
        <v>99</v>
      </c>
      <c r="S17" s="1" t="s">
        <v>87</v>
      </c>
    </row>
    <row r="18" customFormat="false" ht="23" hidden="false" customHeight="true" outlineLevel="0" collapsed="false">
      <c r="A18" s="12" t="n">
        <v>46081</v>
      </c>
      <c r="B18" s="13" t="n">
        <v>2026</v>
      </c>
      <c r="C18" s="14" t="n">
        <v>1573333</v>
      </c>
      <c r="D18" s="14" t="n">
        <v>1246667</v>
      </c>
      <c r="E18" s="14" t="n">
        <v>1076667</v>
      </c>
      <c r="F18" s="16" t="n">
        <f aca="false">C18+D18-E18</f>
        <v>1743333</v>
      </c>
      <c r="G18" s="16" t="n">
        <f aca="false">P18-SUM(C18:D18)-H18-I18</f>
        <v>1755892</v>
      </c>
      <c r="H18" s="14" t="n">
        <v>2140000</v>
      </c>
      <c r="I18" s="14" t="n">
        <v>100000</v>
      </c>
      <c r="J18" s="16" t="n">
        <f aca="false">SUM(C18:D18)+SUM(G18:I18)</f>
        <v>6815892</v>
      </c>
      <c r="K18" s="14" t="n">
        <v>150000</v>
      </c>
      <c r="L18" s="14" t="n">
        <v>80000</v>
      </c>
      <c r="M18" s="14" t="n">
        <v>2000000</v>
      </c>
      <c r="N18" s="14" t="n">
        <v>1000000</v>
      </c>
      <c r="O18" s="18" t="n">
        <f aca="false">O17+'Management PL'!N18-20000</f>
        <v>2509225</v>
      </c>
      <c r="P18" s="16" t="n">
        <f aca="false">E18+SUM(K18:O18)</f>
        <v>6815892</v>
      </c>
      <c r="Q18" s="16" t="n">
        <f aca="false">J18-P18</f>
        <v>0</v>
      </c>
      <c r="R18" s="5" t="s">
        <v>100</v>
      </c>
      <c r="S18" s="5" t="s">
        <v>87</v>
      </c>
    </row>
    <row r="19" customFormat="false" ht="23" hidden="false" customHeight="true" outlineLevel="0" collapsed="false">
      <c r="A19" s="7" t="n">
        <v>46112</v>
      </c>
      <c r="B19" s="8" t="n">
        <v>2026</v>
      </c>
      <c r="C19" s="9" t="n">
        <v>1610000</v>
      </c>
      <c r="D19" s="9" t="n">
        <v>1270000</v>
      </c>
      <c r="E19" s="9" t="n">
        <v>1090000</v>
      </c>
      <c r="F19" s="11" t="n">
        <f aca="false">C19+D19-E19</f>
        <v>1790000</v>
      </c>
      <c r="G19" s="11" t="n">
        <f aca="false">P19-SUM(C19:D19)-H19-I19</f>
        <v>1722575</v>
      </c>
      <c r="H19" s="9" t="n">
        <v>2150000</v>
      </c>
      <c r="I19" s="9" t="n">
        <v>100000</v>
      </c>
      <c r="J19" s="11" t="n">
        <f aca="false">SUM(C19:D19)+SUM(G19:I19)</f>
        <v>6852575</v>
      </c>
      <c r="K19" s="9" t="n">
        <v>150000</v>
      </c>
      <c r="L19" s="9" t="n">
        <v>80000</v>
      </c>
      <c r="M19" s="9" t="n">
        <v>2000000</v>
      </c>
      <c r="N19" s="9" t="n">
        <v>1000000</v>
      </c>
      <c r="O19" s="17" t="n">
        <f aca="false">O18+'Management PL'!N19-20000</f>
        <v>2532575</v>
      </c>
      <c r="P19" s="11" t="n">
        <f aca="false">E19+SUM(K19:O19)</f>
        <v>6852575</v>
      </c>
      <c r="Q19" s="11" t="n">
        <f aca="false">J19-P19</f>
        <v>0</v>
      </c>
      <c r="R19" s="1" t="s">
        <v>101</v>
      </c>
      <c r="S19" s="1" t="s">
        <v>87</v>
      </c>
    </row>
    <row r="20" customFormat="false" ht="23" hidden="false" customHeight="true" outlineLevel="0" collapsed="false">
      <c r="A20" s="12" t="n">
        <v>46142</v>
      </c>
      <c r="B20" s="13" t="n">
        <v>2026</v>
      </c>
      <c r="C20" s="14" t="n">
        <v>1650000</v>
      </c>
      <c r="D20" s="14" t="n">
        <v>1296667</v>
      </c>
      <c r="E20" s="14" t="n">
        <v>1103333</v>
      </c>
      <c r="F20" s="16" t="n">
        <f aca="false">C20+D20-E20</f>
        <v>1843334</v>
      </c>
      <c r="G20" s="16" t="n">
        <f aca="false">P20-SUM(C20:D20)-H20-I20</f>
        <v>1678091</v>
      </c>
      <c r="H20" s="14" t="n">
        <v>2160000</v>
      </c>
      <c r="I20" s="14" t="n">
        <v>100000</v>
      </c>
      <c r="J20" s="16" t="n">
        <f aca="false">SUM(C20:D20)+SUM(G20:I20)</f>
        <v>6884758</v>
      </c>
      <c r="K20" s="14" t="n">
        <v>150000</v>
      </c>
      <c r="L20" s="14" t="n">
        <v>80000</v>
      </c>
      <c r="M20" s="14" t="n">
        <v>2000000</v>
      </c>
      <c r="N20" s="14" t="n">
        <v>1000000</v>
      </c>
      <c r="O20" s="18" t="n">
        <f aca="false">O19+'Management PL'!N20-20000</f>
        <v>2551425</v>
      </c>
      <c r="P20" s="16" t="n">
        <f aca="false">E20+SUM(K20:O20)</f>
        <v>6884758</v>
      </c>
      <c r="Q20" s="16" t="n">
        <f aca="false">J20-P20</f>
        <v>0</v>
      </c>
      <c r="R20" s="5" t="s">
        <v>102</v>
      </c>
      <c r="S20" s="5" t="s">
        <v>87</v>
      </c>
    </row>
    <row r="21" customFormat="false" ht="23" hidden="false" customHeight="true" outlineLevel="0" collapsed="false">
      <c r="A21" s="7" t="n">
        <v>46173</v>
      </c>
      <c r="B21" s="8" t="n">
        <v>2026</v>
      </c>
      <c r="C21" s="9" t="n">
        <v>1690000</v>
      </c>
      <c r="D21" s="9" t="n">
        <v>1323333</v>
      </c>
      <c r="E21" s="9" t="n">
        <v>1116667</v>
      </c>
      <c r="F21" s="11" t="n">
        <f aca="false">C21+D21-E21</f>
        <v>1896666</v>
      </c>
      <c r="G21" s="11" t="n">
        <f aca="false">P21-SUM(C21:D21)-H21-I21</f>
        <v>1643209</v>
      </c>
      <c r="H21" s="9" t="n">
        <v>2170000</v>
      </c>
      <c r="I21" s="9" t="n">
        <v>100000</v>
      </c>
      <c r="J21" s="11" t="n">
        <f aca="false">SUM(C21:D21)+SUM(G21:I21)</f>
        <v>6926542</v>
      </c>
      <c r="K21" s="9" t="n">
        <v>150000</v>
      </c>
      <c r="L21" s="9" t="n">
        <v>80000</v>
      </c>
      <c r="M21" s="9" t="n">
        <v>2000000</v>
      </c>
      <c r="N21" s="9" t="n">
        <v>1000000</v>
      </c>
      <c r="O21" s="17" t="n">
        <f aca="false">O20+'Management PL'!N21-20000</f>
        <v>2579875</v>
      </c>
      <c r="P21" s="11" t="n">
        <f aca="false">E21+SUM(K21:O21)</f>
        <v>6926542</v>
      </c>
      <c r="Q21" s="11" t="n">
        <f aca="false">J21-P21</f>
        <v>0</v>
      </c>
      <c r="R21" s="1" t="s">
        <v>103</v>
      </c>
      <c r="S21" s="1" t="s">
        <v>87</v>
      </c>
    </row>
    <row r="22" customFormat="false" ht="23" hidden="false" customHeight="true" outlineLevel="0" collapsed="false">
      <c r="A22" s="12" t="n">
        <v>46203</v>
      </c>
      <c r="B22" s="13" t="n">
        <v>2026</v>
      </c>
      <c r="C22" s="14" t="n">
        <v>1730000</v>
      </c>
      <c r="D22" s="14" t="n">
        <v>1350000</v>
      </c>
      <c r="E22" s="14" t="n">
        <v>1130000</v>
      </c>
      <c r="F22" s="16" t="n">
        <f aca="false">C22+D22-E22</f>
        <v>1950000</v>
      </c>
      <c r="G22" s="16" t="n">
        <f aca="false">P22-SUM(C22:D22)-H22-I22</f>
        <v>1615150</v>
      </c>
      <c r="H22" s="14" t="n">
        <v>2180000</v>
      </c>
      <c r="I22" s="14" t="n">
        <v>100000</v>
      </c>
      <c r="J22" s="16" t="n">
        <f aca="false">SUM(C22:D22)+SUM(G22:I22)</f>
        <v>6975150</v>
      </c>
      <c r="K22" s="14" t="n">
        <v>150000</v>
      </c>
      <c r="L22" s="14" t="n">
        <v>80000</v>
      </c>
      <c r="M22" s="14" t="n">
        <v>2000000</v>
      </c>
      <c r="N22" s="14" t="n">
        <v>1000000</v>
      </c>
      <c r="O22" s="18" t="n">
        <f aca="false">O21+'Management PL'!N22-20000</f>
        <v>2615150</v>
      </c>
      <c r="P22" s="16" t="n">
        <f aca="false">E22+SUM(K22:O22)</f>
        <v>6975150</v>
      </c>
      <c r="Q22" s="16" t="n">
        <f aca="false">J22-P22</f>
        <v>0</v>
      </c>
      <c r="R22" s="5" t="s">
        <v>104</v>
      </c>
      <c r="S22" s="5" t="s">
        <v>87</v>
      </c>
    </row>
    <row r="23" customFormat="false" ht="23" hidden="false" customHeight="true" outlineLevel="0" collapsed="false">
      <c r="A23" s="7" t="n">
        <v>46234</v>
      </c>
      <c r="B23" s="8" t="n">
        <v>2026</v>
      </c>
      <c r="C23" s="9" t="n">
        <v>1780000</v>
      </c>
      <c r="D23" s="9" t="n">
        <v>1380000</v>
      </c>
      <c r="E23" s="9" t="n">
        <v>1150000</v>
      </c>
      <c r="F23" s="11" t="n">
        <f aca="false">C23+D23-E23</f>
        <v>2010000</v>
      </c>
      <c r="G23" s="11" t="n">
        <f aca="false">P23-SUM(C23:D23)-H23-I23</f>
        <v>1567675</v>
      </c>
      <c r="H23" s="9" t="n">
        <v>2190000</v>
      </c>
      <c r="I23" s="9" t="n">
        <v>100000</v>
      </c>
      <c r="J23" s="11" t="n">
        <f aca="false">SUM(C23:D23)+SUM(G23:I23)</f>
        <v>7017675</v>
      </c>
      <c r="K23" s="9" t="n">
        <v>150000</v>
      </c>
      <c r="L23" s="9" t="n">
        <v>80000</v>
      </c>
      <c r="M23" s="9" t="n">
        <v>2000000</v>
      </c>
      <c r="N23" s="9" t="n">
        <v>1000000</v>
      </c>
      <c r="O23" s="17" t="n">
        <f aca="false">O22+'Management PL'!N23-20000</f>
        <v>2637675</v>
      </c>
      <c r="P23" s="11" t="n">
        <f aca="false">E23+SUM(K23:O23)</f>
        <v>7017675</v>
      </c>
      <c r="Q23" s="11" t="n">
        <f aca="false">J23-P23</f>
        <v>0</v>
      </c>
      <c r="R23" s="1" t="s">
        <v>105</v>
      </c>
      <c r="S23" s="1" t="s">
        <v>87</v>
      </c>
    </row>
    <row r="24" customFormat="false" ht="23" hidden="false" customHeight="true" outlineLevel="0" collapsed="false">
      <c r="A24" s="12" t="n">
        <v>46265</v>
      </c>
      <c r="B24" s="13" t="n">
        <v>2026</v>
      </c>
      <c r="C24" s="14" t="n">
        <v>1830000</v>
      </c>
      <c r="D24" s="14" t="n">
        <v>1410000</v>
      </c>
      <c r="E24" s="14" t="n">
        <v>1170000</v>
      </c>
      <c r="F24" s="16" t="n">
        <f aca="false">C24+D24-E24</f>
        <v>2070000</v>
      </c>
      <c r="G24" s="16" t="n">
        <f aca="false">P24-SUM(C24:D24)-H24-I24</f>
        <v>1507525</v>
      </c>
      <c r="H24" s="14" t="n">
        <v>2200000</v>
      </c>
      <c r="I24" s="14" t="n">
        <v>100000</v>
      </c>
      <c r="J24" s="16" t="n">
        <f aca="false">SUM(C24:D24)+SUM(G24:I24)</f>
        <v>7047525</v>
      </c>
      <c r="K24" s="14" t="n">
        <v>150000</v>
      </c>
      <c r="L24" s="14" t="n">
        <v>80000</v>
      </c>
      <c r="M24" s="14" t="n">
        <v>2000000</v>
      </c>
      <c r="N24" s="14" t="n">
        <v>1000000</v>
      </c>
      <c r="O24" s="18" t="n">
        <f aca="false">O23+'Management PL'!N24-20000</f>
        <v>2647525</v>
      </c>
      <c r="P24" s="16" t="n">
        <f aca="false">E24+SUM(K24:O24)</f>
        <v>7047525</v>
      </c>
      <c r="Q24" s="16" t="n">
        <f aca="false">J24-P24</f>
        <v>0</v>
      </c>
      <c r="R24" s="5" t="s">
        <v>106</v>
      </c>
      <c r="S24" s="5" t="s">
        <v>87</v>
      </c>
    </row>
    <row r="25" customFormat="false" ht="23" hidden="false" customHeight="true" outlineLevel="0" collapsed="false">
      <c r="A25" s="7" t="n">
        <v>46295</v>
      </c>
      <c r="B25" s="8" t="n">
        <v>2026</v>
      </c>
      <c r="C25" s="9" t="n">
        <v>1880000</v>
      </c>
      <c r="D25" s="9" t="n">
        <v>1440000</v>
      </c>
      <c r="E25" s="9" t="n">
        <v>1190000</v>
      </c>
      <c r="F25" s="11" t="n">
        <f aca="false">C25+D25-E25</f>
        <v>2130000</v>
      </c>
      <c r="G25" s="11" t="n">
        <f aca="false">P25-SUM(C25:D25)-H25-I25</f>
        <v>1464775</v>
      </c>
      <c r="H25" s="9" t="n">
        <v>2210000</v>
      </c>
      <c r="I25" s="9" t="n">
        <v>100000</v>
      </c>
      <c r="J25" s="11" t="n">
        <f aca="false">SUM(C25:D25)+SUM(G25:I25)</f>
        <v>7094775</v>
      </c>
      <c r="K25" s="9" t="n">
        <v>150000</v>
      </c>
      <c r="L25" s="9" t="n">
        <v>80000</v>
      </c>
      <c r="M25" s="9" t="n">
        <v>2000000</v>
      </c>
      <c r="N25" s="9" t="n">
        <v>1000000</v>
      </c>
      <c r="O25" s="17" t="n">
        <f aca="false">O24+'Management PL'!N25-20000</f>
        <v>2674775</v>
      </c>
      <c r="P25" s="11" t="n">
        <f aca="false">E25+SUM(K25:O25)</f>
        <v>7094775</v>
      </c>
      <c r="Q25" s="11" t="n">
        <f aca="false">J25-P25</f>
        <v>0</v>
      </c>
      <c r="R25" s="1" t="s">
        <v>107</v>
      </c>
      <c r="S25" s="1" t="s">
        <v>87</v>
      </c>
    </row>
    <row r="26" customFormat="false" ht="23" hidden="false" customHeight="true" outlineLevel="0" collapsed="false">
      <c r="A26" s="12" t="n">
        <v>46326</v>
      </c>
      <c r="B26" s="13" t="n">
        <v>2026</v>
      </c>
      <c r="C26" s="14" t="n">
        <v>1936667</v>
      </c>
      <c r="D26" s="14" t="n">
        <v>1476667</v>
      </c>
      <c r="E26" s="14" t="n">
        <v>1210000</v>
      </c>
      <c r="F26" s="16" t="n">
        <f aca="false">C26+D26-E26</f>
        <v>2203334</v>
      </c>
      <c r="G26" s="16" t="n">
        <f aca="false">P26-SUM(C26:D26)-H26-I26</f>
        <v>1423241</v>
      </c>
      <c r="H26" s="14" t="n">
        <v>2220000</v>
      </c>
      <c r="I26" s="14" t="n">
        <v>100000</v>
      </c>
      <c r="J26" s="16" t="n">
        <f aca="false">SUM(C26:D26)+SUM(G26:I26)</f>
        <v>7156575</v>
      </c>
      <c r="K26" s="14" t="n">
        <v>150000</v>
      </c>
      <c r="L26" s="14" t="n">
        <v>80000</v>
      </c>
      <c r="M26" s="14" t="n">
        <v>2000000</v>
      </c>
      <c r="N26" s="14" t="n">
        <v>1000000</v>
      </c>
      <c r="O26" s="18" t="n">
        <f aca="false">O25+'Management PL'!N26-20000</f>
        <v>2716575</v>
      </c>
      <c r="P26" s="16" t="n">
        <f aca="false">E26+SUM(K26:O26)</f>
        <v>7156575</v>
      </c>
      <c r="Q26" s="16" t="n">
        <f aca="false">J26-P26</f>
        <v>0</v>
      </c>
      <c r="R26" s="5" t="s">
        <v>108</v>
      </c>
      <c r="S26" s="5" t="s">
        <v>87</v>
      </c>
    </row>
    <row r="27" customFormat="false" ht="23" hidden="false" customHeight="true" outlineLevel="0" collapsed="false">
      <c r="A27" s="7" t="n">
        <v>46356</v>
      </c>
      <c r="B27" s="8" t="n">
        <v>2026</v>
      </c>
      <c r="C27" s="9" t="n">
        <v>1993333</v>
      </c>
      <c r="D27" s="9" t="n">
        <v>1513333</v>
      </c>
      <c r="E27" s="9" t="n">
        <v>1230000</v>
      </c>
      <c r="F27" s="11" t="n">
        <f aca="false">C27+D27-E27</f>
        <v>2276666</v>
      </c>
      <c r="G27" s="11" t="n">
        <f aca="false">P27-SUM(C27:D27)-H27-I27</f>
        <v>1390634</v>
      </c>
      <c r="H27" s="9" t="n">
        <v>2230000</v>
      </c>
      <c r="I27" s="9" t="n">
        <v>100000</v>
      </c>
      <c r="J27" s="11" t="n">
        <f aca="false">SUM(C27:D27)+SUM(G27:I27)</f>
        <v>7227300</v>
      </c>
      <c r="K27" s="9" t="n">
        <v>150000</v>
      </c>
      <c r="L27" s="9" t="n">
        <v>80000</v>
      </c>
      <c r="M27" s="9" t="n">
        <v>2000000</v>
      </c>
      <c r="N27" s="9" t="n">
        <v>1000000</v>
      </c>
      <c r="O27" s="17" t="n">
        <f aca="false">O26+'Management PL'!N27-20000</f>
        <v>2767300</v>
      </c>
      <c r="P27" s="11" t="n">
        <f aca="false">E27+SUM(K27:O27)</f>
        <v>7227300</v>
      </c>
      <c r="Q27" s="11" t="n">
        <f aca="false">J27-P27</f>
        <v>0</v>
      </c>
      <c r="R27" s="1" t="s">
        <v>109</v>
      </c>
      <c r="S27" s="1" t="s">
        <v>87</v>
      </c>
    </row>
    <row r="28" customFormat="false" ht="23" hidden="false" customHeight="true" outlineLevel="0" collapsed="false">
      <c r="A28" s="12" t="n">
        <v>46387</v>
      </c>
      <c r="B28" s="13" t="n">
        <v>2026</v>
      </c>
      <c r="C28" s="14" t="n">
        <v>2050000</v>
      </c>
      <c r="D28" s="14" t="n">
        <v>1550000</v>
      </c>
      <c r="E28" s="14" t="n">
        <v>1250000</v>
      </c>
      <c r="F28" s="16" t="n">
        <f aca="false">C28+D28-E28</f>
        <v>2350000</v>
      </c>
      <c r="G28" s="16" t="n">
        <f aca="false">P28-SUM(C28:D28)-H28-I28</f>
        <v>1386375</v>
      </c>
      <c r="H28" s="14" t="n">
        <v>2240000</v>
      </c>
      <c r="I28" s="14" t="n">
        <v>100000</v>
      </c>
      <c r="J28" s="16" t="n">
        <f aca="false">SUM(C28:D28)+SUM(G28:I28)</f>
        <v>7326375</v>
      </c>
      <c r="K28" s="14" t="n">
        <v>150000</v>
      </c>
      <c r="L28" s="14" t="n">
        <v>80000</v>
      </c>
      <c r="M28" s="14" t="n">
        <v>2000000</v>
      </c>
      <c r="N28" s="14" t="n">
        <v>1000000</v>
      </c>
      <c r="O28" s="18" t="n">
        <f aca="false">O27+'Management PL'!N28-20000</f>
        <v>2846375</v>
      </c>
      <c r="P28" s="16" t="n">
        <f aca="false">E28+SUM(K28:O28)</f>
        <v>7326375</v>
      </c>
      <c r="Q28" s="16" t="n">
        <f aca="false">J28-P28</f>
        <v>0</v>
      </c>
      <c r="R28" s="5" t="s">
        <v>110</v>
      </c>
      <c r="S28" s="5" t="s">
        <v>87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3.0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9.99"/>
    <col collapsed="false" customWidth="true" hidden="false" outlineLevel="0" max="6" min="6" style="0" width="18"/>
    <col collapsed="false" customWidth="true" hidden="false" outlineLevel="0" max="7" min="7" style="0" width="19.99"/>
    <col collapsed="false" customWidth="true" hidden="false" outlineLevel="0" max="8" min="8" style="0" width="13.02"/>
    <col collapsed="false" customWidth="true" hidden="false" outlineLevel="0" max="9" min="9" style="0" width="15"/>
    <col collapsed="false" customWidth="true" hidden="false" outlineLevel="0" max="10" min="10" style="0" width="22.01"/>
    <col collapsed="false" customWidth="true" hidden="false" outlineLevel="0" max="11" min="11" style="0" width="18"/>
    <col collapsed="false" customWidth="true" hidden="false" outlineLevel="0" max="1025" min="12" style="0" width="8.45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3" hidden="false" customHeight="true" outlineLevel="0" collapsed="false">
      <c r="A2" s="2" t="s">
        <v>111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2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32" hidden="false" customHeight="true" outlineLevel="0" collapsed="false">
      <c r="A4" s="3" t="s">
        <v>28</v>
      </c>
      <c r="B4" s="3" t="s">
        <v>29</v>
      </c>
      <c r="C4" s="3" t="s">
        <v>112</v>
      </c>
      <c r="D4" s="3" t="s">
        <v>113</v>
      </c>
      <c r="E4" s="3" t="s">
        <v>30</v>
      </c>
      <c r="F4" s="3" t="s">
        <v>114</v>
      </c>
      <c r="G4" s="3" t="s">
        <v>115</v>
      </c>
      <c r="H4" s="3" t="s">
        <v>31</v>
      </c>
      <c r="I4" s="3" t="s">
        <v>116</v>
      </c>
      <c r="J4" s="3" t="s">
        <v>42</v>
      </c>
      <c r="K4" s="3" t="s">
        <v>44</v>
      </c>
    </row>
    <row r="5" customFormat="false" ht="23" hidden="false" customHeight="true" outlineLevel="0" collapsed="false">
      <c r="A5" s="7" t="n">
        <v>45658</v>
      </c>
      <c r="B5" s="8" t="n">
        <v>2025</v>
      </c>
      <c r="C5" s="1" t="s">
        <v>117</v>
      </c>
      <c r="D5" s="1" t="s">
        <v>118</v>
      </c>
      <c r="E5" s="9" t="n">
        <v>416600</v>
      </c>
      <c r="F5" s="19" t="n">
        <f aca="false">E5/G5</f>
        <v>4166</v>
      </c>
      <c r="G5" s="9" t="n">
        <v>100</v>
      </c>
      <c r="H5" s="11" t="n">
        <f aca="false">E5*0.4</f>
        <v>166640</v>
      </c>
      <c r="I5" s="1" t="s">
        <v>119</v>
      </c>
      <c r="J5" s="1" t="s">
        <v>120</v>
      </c>
      <c r="K5" s="1" t="s">
        <v>121</v>
      </c>
    </row>
    <row r="6" customFormat="false" ht="23" hidden="false" customHeight="true" outlineLevel="0" collapsed="false">
      <c r="A6" s="12" t="n">
        <v>45658</v>
      </c>
      <c r="B6" s="13" t="n">
        <v>2025</v>
      </c>
      <c r="C6" s="5" t="s">
        <v>122</v>
      </c>
      <c r="D6" s="5" t="s">
        <v>123</v>
      </c>
      <c r="E6" s="14" t="n">
        <v>333320</v>
      </c>
      <c r="F6" s="20" t="n">
        <f aca="false">E6/G6</f>
        <v>8333</v>
      </c>
      <c r="G6" s="14" t="n">
        <v>40</v>
      </c>
      <c r="H6" s="16" t="n">
        <f aca="false">E6*0.22</f>
        <v>73330.4</v>
      </c>
      <c r="I6" s="5" t="s">
        <v>119</v>
      </c>
      <c r="J6" s="5" t="s">
        <v>120</v>
      </c>
      <c r="K6" s="5" t="s">
        <v>121</v>
      </c>
    </row>
    <row r="7" customFormat="false" ht="23" hidden="false" customHeight="true" outlineLevel="0" collapsed="false">
      <c r="A7" s="7" t="n">
        <v>45658</v>
      </c>
      <c r="B7" s="8" t="n">
        <v>2025</v>
      </c>
      <c r="C7" s="1" t="s">
        <v>124</v>
      </c>
      <c r="D7" s="1" t="s">
        <v>125</v>
      </c>
      <c r="E7" s="9" t="n">
        <v>50000</v>
      </c>
      <c r="F7" s="1"/>
      <c r="G7" s="21"/>
      <c r="H7" s="11" t="n">
        <f aca="false">E7*0.25</f>
        <v>12500</v>
      </c>
      <c r="I7" s="1" t="s">
        <v>119</v>
      </c>
      <c r="J7" s="1" t="s">
        <v>120</v>
      </c>
      <c r="K7" s="1" t="s">
        <v>121</v>
      </c>
    </row>
    <row r="8" customFormat="false" ht="23" hidden="false" customHeight="true" outlineLevel="0" collapsed="false">
      <c r="A8" s="12" t="n">
        <v>45658</v>
      </c>
      <c r="B8" s="13" t="n">
        <v>2025</v>
      </c>
      <c r="C8" s="5" t="s">
        <v>126</v>
      </c>
      <c r="D8" s="5" t="s">
        <v>127</v>
      </c>
      <c r="E8" s="14" t="n">
        <v>0</v>
      </c>
      <c r="F8" s="5"/>
      <c r="G8" s="22"/>
      <c r="H8" s="16" t="n">
        <f aca="false">E8*0.25</f>
        <v>0</v>
      </c>
      <c r="I8" s="5" t="s">
        <v>128</v>
      </c>
      <c r="J8" s="5" t="s">
        <v>120</v>
      </c>
      <c r="K8" s="5" t="s">
        <v>121</v>
      </c>
    </row>
    <row r="9" customFormat="false" ht="23" hidden="false" customHeight="true" outlineLevel="0" collapsed="false">
      <c r="A9" s="7" t="n">
        <v>45658</v>
      </c>
      <c r="B9" s="8" t="n">
        <v>2025</v>
      </c>
      <c r="C9" s="1" t="s">
        <v>129</v>
      </c>
      <c r="D9" s="1" t="s">
        <v>130</v>
      </c>
      <c r="E9" s="9" t="n">
        <v>12500</v>
      </c>
      <c r="F9" s="1"/>
      <c r="G9" s="21"/>
      <c r="H9" s="11" t="n">
        <f aca="false">E9*0.25</f>
        <v>3125</v>
      </c>
      <c r="I9" s="1" t="s">
        <v>131</v>
      </c>
      <c r="J9" s="1" t="s">
        <v>120</v>
      </c>
      <c r="K9" s="1" t="s">
        <v>121</v>
      </c>
    </row>
    <row r="10" customFormat="false" ht="23" hidden="false" customHeight="true" outlineLevel="0" collapsed="false">
      <c r="A10" s="12" t="n">
        <v>45689</v>
      </c>
      <c r="B10" s="13" t="n">
        <v>2025</v>
      </c>
      <c r="C10" s="5" t="s">
        <v>117</v>
      </c>
      <c r="D10" s="5" t="s">
        <v>118</v>
      </c>
      <c r="E10" s="14" t="n">
        <v>416600</v>
      </c>
      <c r="F10" s="20" t="n">
        <f aca="false">E10/G10</f>
        <v>4166</v>
      </c>
      <c r="G10" s="14" t="n">
        <v>100</v>
      </c>
      <c r="H10" s="16" t="n">
        <f aca="false">E10*0.4</f>
        <v>166640</v>
      </c>
      <c r="I10" s="5" t="s">
        <v>119</v>
      </c>
      <c r="J10" s="5" t="s">
        <v>132</v>
      </c>
      <c r="K10" s="5" t="s">
        <v>121</v>
      </c>
    </row>
    <row r="11" customFormat="false" ht="23" hidden="false" customHeight="true" outlineLevel="0" collapsed="false">
      <c r="A11" s="7" t="n">
        <v>45689</v>
      </c>
      <c r="B11" s="8" t="n">
        <v>2025</v>
      </c>
      <c r="C11" s="1" t="s">
        <v>122</v>
      </c>
      <c r="D11" s="1" t="s">
        <v>123</v>
      </c>
      <c r="E11" s="9" t="n">
        <v>333320</v>
      </c>
      <c r="F11" s="19" t="n">
        <f aca="false">E11/G11</f>
        <v>8333</v>
      </c>
      <c r="G11" s="9" t="n">
        <v>40</v>
      </c>
      <c r="H11" s="11" t="n">
        <f aca="false">E11*0.22</f>
        <v>73330.4</v>
      </c>
      <c r="I11" s="1" t="s">
        <v>119</v>
      </c>
      <c r="J11" s="1" t="s">
        <v>132</v>
      </c>
      <c r="K11" s="1" t="s">
        <v>121</v>
      </c>
    </row>
    <row r="12" customFormat="false" ht="23" hidden="false" customHeight="true" outlineLevel="0" collapsed="false">
      <c r="A12" s="12" t="n">
        <v>45689</v>
      </c>
      <c r="B12" s="13" t="n">
        <v>2025</v>
      </c>
      <c r="C12" s="5" t="s">
        <v>124</v>
      </c>
      <c r="D12" s="5" t="s">
        <v>125</v>
      </c>
      <c r="E12" s="14" t="n">
        <v>50000</v>
      </c>
      <c r="F12" s="5"/>
      <c r="G12" s="22"/>
      <c r="H12" s="16" t="n">
        <f aca="false">E12*0.25</f>
        <v>12500</v>
      </c>
      <c r="I12" s="5" t="s">
        <v>119</v>
      </c>
      <c r="J12" s="5" t="s">
        <v>132</v>
      </c>
      <c r="K12" s="5" t="s">
        <v>121</v>
      </c>
    </row>
    <row r="13" customFormat="false" ht="23" hidden="false" customHeight="true" outlineLevel="0" collapsed="false">
      <c r="A13" s="7" t="n">
        <v>45689</v>
      </c>
      <c r="B13" s="8" t="n">
        <v>2025</v>
      </c>
      <c r="C13" s="1" t="s">
        <v>126</v>
      </c>
      <c r="D13" s="1" t="s">
        <v>127</v>
      </c>
      <c r="E13" s="9" t="n">
        <v>0</v>
      </c>
      <c r="F13" s="1"/>
      <c r="G13" s="21"/>
      <c r="H13" s="11" t="n">
        <f aca="false">E13*0.25</f>
        <v>0</v>
      </c>
      <c r="I13" s="1" t="s">
        <v>128</v>
      </c>
      <c r="J13" s="1" t="s">
        <v>132</v>
      </c>
      <c r="K13" s="1" t="s">
        <v>121</v>
      </c>
    </row>
    <row r="14" customFormat="false" ht="23" hidden="false" customHeight="true" outlineLevel="0" collapsed="false">
      <c r="A14" s="12" t="n">
        <v>45689</v>
      </c>
      <c r="B14" s="13" t="n">
        <v>2025</v>
      </c>
      <c r="C14" s="5" t="s">
        <v>129</v>
      </c>
      <c r="D14" s="5" t="s">
        <v>130</v>
      </c>
      <c r="E14" s="14" t="n">
        <v>12500</v>
      </c>
      <c r="F14" s="5"/>
      <c r="G14" s="22"/>
      <c r="H14" s="16" t="n">
        <f aca="false">E14*0.25</f>
        <v>3125</v>
      </c>
      <c r="I14" s="5" t="s">
        <v>131</v>
      </c>
      <c r="J14" s="5" t="s">
        <v>132</v>
      </c>
      <c r="K14" s="5" t="s">
        <v>121</v>
      </c>
    </row>
    <row r="15" customFormat="false" ht="23" hidden="false" customHeight="true" outlineLevel="0" collapsed="false">
      <c r="A15" s="7" t="n">
        <v>45717</v>
      </c>
      <c r="B15" s="8" t="n">
        <v>2025</v>
      </c>
      <c r="C15" s="1" t="s">
        <v>117</v>
      </c>
      <c r="D15" s="1" t="s">
        <v>118</v>
      </c>
      <c r="E15" s="9" t="n">
        <v>416600</v>
      </c>
      <c r="F15" s="19" t="n">
        <f aca="false">E15/G15</f>
        <v>4166</v>
      </c>
      <c r="G15" s="9" t="n">
        <v>100</v>
      </c>
      <c r="H15" s="11" t="n">
        <f aca="false">E15*0.4</f>
        <v>166640</v>
      </c>
      <c r="I15" s="1" t="s">
        <v>119</v>
      </c>
      <c r="J15" s="1" t="s">
        <v>133</v>
      </c>
      <c r="K15" s="1" t="s">
        <v>121</v>
      </c>
    </row>
    <row r="16" customFormat="false" ht="23" hidden="false" customHeight="true" outlineLevel="0" collapsed="false">
      <c r="A16" s="12" t="n">
        <v>45717</v>
      </c>
      <c r="B16" s="13" t="n">
        <v>2025</v>
      </c>
      <c r="C16" s="5" t="s">
        <v>122</v>
      </c>
      <c r="D16" s="5" t="s">
        <v>123</v>
      </c>
      <c r="E16" s="14" t="n">
        <v>333320</v>
      </c>
      <c r="F16" s="20" t="n">
        <f aca="false">E16/G16</f>
        <v>8333</v>
      </c>
      <c r="G16" s="14" t="n">
        <v>40</v>
      </c>
      <c r="H16" s="16" t="n">
        <f aca="false">E16*0.22</f>
        <v>73330.4</v>
      </c>
      <c r="I16" s="5" t="s">
        <v>119</v>
      </c>
      <c r="J16" s="5" t="s">
        <v>133</v>
      </c>
      <c r="K16" s="5" t="s">
        <v>121</v>
      </c>
    </row>
    <row r="17" customFormat="false" ht="23" hidden="false" customHeight="true" outlineLevel="0" collapsed="false">
      <c r="A17" s="7" t="n">
        <v>45717</v>
      </c>
      <c r="B17" s="8" t="n">
        <v>2025</v>
      </c>
      <c r="C17" s="1" t="s">
        <v>124</v>
      </c>
      <c r="D17" s="1" t="s">
        <v>125</v>
      </c>
      <c r="E17" s="9" t="n">
        <v>50000</v>
      </c>
      <c r="F17" s="1"/>
      <c r="G17" s="21"/>
      <c r="H17" s="11" t="n">
        <f aca="false">E17*0.25</f>
        <v>12500</v>
      </c>
      <c r="I17" s="1" t="s">
        <v>119</v>
      </c>
      <c r="J17" s="1" t="s">
        <v>133</v>
      </c>
      <c r="K17" s="1" t="s">
        <v>121</v>
      </c>
    </row>
    <row r="18" customFormat="false" ht="23" hidden="false" customHeight="true" outlineLevel="0" collapsed="false">
      <c r="A18" s="12" t="n">
        <v>45717</v>
      </c>
      <c r="B18" s="13" t="n">
        <v>2025</v>
      </c>
      <c r="C18" s="5" t="s">
        <v>126</v>
      </c>
      <c r="D18" s="5" t="s">
        <v>127</v>
      </c>
      <c r="E18" s="14" t="n">
        <v>0</v>
      </c>
      <c r="F18" s="5"/>
      <c r="G18" s="22"/>
      <c r="H18" s="16" t="n">
        <f aca="false">E18*0.25</f>
        <v>0</v>
      </c>
      <c r="I18" s="5" t="s">
        <v>128</v>
      </c>
      <c r="J18" s="5" t="s">
        <v>133</v>
      </c>
      <c r="K18" s="5" t="s">
        <v>121</v>
      </c>
    </row>
    <row r="19" customFormat="false" ht="23" hidden="false" customHeight="true" outlineLevel="0" collapsed="false">
      <c r="A19" s="7" t="n">
        <v>45717</v>
      </c>
      <c r="B19" s="8" t="n">
        <v>2025</v>
      </c>
      <c r="C19" s="1" t="s">
        <v>129</v>
      </c>
      <c r="D19" s="1" t="s">
        <v>130</v>
      </c>
      <c r="E19" s="9" t="n">
        <v>12500</v>
      </c>
      <c r="F19" s="1"/>
      <c r="G19" s="21"/>
      <c r="H19" s="11" t="n">
        <f aca="false">E19*0.25</f>
        <v>3125</v>
      </c>
      <c r="I19" s="1" t="s">
        <v>131</v>
      </c>
      <c r="J19" s="1" t="s">
        <v>133</v>
      </c>
      <c r="K19" s="1" t="s">
        <v>121</v>
      </c>
    </row>
    <row r="20" customFormat="false" ht="23" hidden="false" customHeight="true" outlineLevel="0" collapsed="false">
      <c r="A20" s="12" t="n">
        <v>45748</v>
      </c>
      <c r="B20" s="13" t="n">
        <v>2025</v>
      </c>
      <c r="C20" s="5" t="s">
        <v>117</v>
      </c>
      <c r="D20" s="5" t="s">
        <v>118</v>
      </c>
      <c r="E20" s="14" t="n">
        <v>416600</v>
      </c>
      <c r="F20" s="20" t="n">
        <f aca="false">E20/G20</f>
        <v>4166</v>
      </c>
      <c r="G20" s="14" t="n">
        <v>100</v>
      </c>
      <c r="H20" s="16" t="n">
        <f aca="false">E20*0.4</f>
        <v>166640</v>
      </c>
      <c r="I20" s="5" t="s">
        <v>119</v>
      </c>
      <c r="J20" s="5" t="s">
        <v>134</v>
      </c>
      <c r="K20" s="5" t="s">
        <v>121</v>
      </c>
    </row>
    <row r="21" customFormat="false" ht="23" hidden="false" customHeight="true" outlineLevel="0" collapsed="false">
      <c r="A21" s="7" t="n">
        <v>45748</v>
      </c>
      <c r="B21" s="8" t="n">
        <v>2025</v>
      </c>
      <c r="C21" s="1" t="s">
        <v>122</v>
      </c>
      <c r="D21" s="1" t="s">
        <v>123</v>
      </c>
      <c r="E21" s="9" t="n">
        <v>333320</v>
      </c>
      <c r="F21" s="19" t="n">
        <f aca="false">E21/G21</f>
        <v>8333</v>
      </c>
      <c r="G21" s="9" t="n">
        <v>40</v>
      </c>
      <c r="H21" s="11" t="n">
        <f aca="false">E21*0.22</f>
        <v>73330.4</v>
      </c>
      <c r="I21" s="1" t="s">
        <v>119</v>
      </c>
      <c r="J21" s="1" t="s">
        <v>134</v>
      </c>
      <c r="K21" s="1" t="s">
        <v>121</v>
      </c>
    </row>
    <row r="22" customFormat="false" ht="23" hidden="false" customHeight="true" outlineLevel="0" collapsed="false">
      <c r="A22" s="12" t="n">
        <v>45748</v>
      </c>
      <c r="B22" s="13" t="n">
        <v>2025</v>
      </c>
      <c r="C22" s="5" t="s">
        <v>124</v>
      </c>
      <c r="D22" s="5" t="s">
        <v>125</v>
      </c>
      <c r="E22" s="14" t="n">
        <v>50000</v>
      </c>
      <c r="F22" s="5"/>
      <c r="G22" s="22"/>
      <c r="H22" s="16" t="n">
        <f aca="false">E22*0.25</f>
        <v>12500</v>
      </c>
      <c r="I22" s="5" t="s">
        <v>119</v>
      </c>
      <c r="J22" s="5" t="s">
        <v>134</v>
      </c>
      <c r="K22" s="5" t="s">
        <v>121</v>
      </c>
    </row>
    <row r="23" customFormat="false" ht="23" hidden="false" customHeight="true" outlineLevel="0" collapsed="false">
      <c r="A23" s="7" t="n">
        <v>45748</v>
      </c>
      <c r="B23" s="8" t="n">
        <v>2025</v>
      </c>
      <c r="C23" s="1" t="s">
        <v>126</v>
      </c>
      <c r="D23" s="1" t="s">
        <v>127</v>
      </c>
      <c r="E23" s="9" t="n">
        <v>0</v>
      </c>
      <c r="F23" s="1"/>
      <c r="G23" s="21"/>
      <c r="H23" s="11" t="n">
        <f aca="false">E23*0.25</f>
        <v>0</v>
      </c>
      <c r="I23" s="1" t="s">
        <v>128</v>
      </c>
      <c r="J23" s="1" t="s">
        <v>134</v>
      </c>
      <c r="K23" s="1" t="s">
        <v>121</v>
      </c>
    </row>
    <row r="24" customFormat="false" ht="23" hidden="false" customHeight="true" outlineLevel="0" collapsed="false">
      <c r="A24" s="12" t="n">
        <v>45748</v>
      </c>
      <c r="B24" s="13" t="n">
        <v>2025</v>
      </c>
      <c r="C24" s="5" t="s">
        <v>129</v>
      </c>
      <c r="D24" s="5" t="s">
        <v>130</v>
      </c>
      <c r="E24" s="14" t="n">
        <v>12500</v>
      </c>
      <c r="F24" s="5"/>
      <c r="G24" s="22"/>
      <c r="H24" s="16" t="n">
        <f aca="false">E24*0.25</f>
        <v>3125</v>
      </c>
      <c r="I24" s="5" t="s">
        <v>131</v>
      </c>
      <c r="J24" s="5" t="s">
        <v>134</v>
      </c>
      <c r="K24" s="5" t="s">
        <v>121</v>
      </c>
    </row>
    <row r="25" customFormat="false" ht="23" hidden="false" customHeight="true" outlineLevel="0" collapsed="false">
      <c r="A25" s="7" t="n">
        <v>45778</v>
      </c>
      <c r="B25" s="8" t="n">
        <v>2025</v>
      </c>
      <c r="C25" s="1" t="s">
        <v>117</v>
      </c>
      <c r="D25" s="1" t="s">
        <v>118</v>
      </c>
      <c r="E25" s="9" t="n">
        <v>416600</v>
      </c>
      <c r="F25" s="19" t="n">
        <f aca="false">E25/G25</f>
        <v>4166</v>
      </c>
      <c r="G25" s="9" t="n">
        <v>100</v>
      </c>
      <c r="H25" s="11" t="n">
        <f aca="false">E25*0.4</f>
        <v>166640</v>
      </c>
      <c r="I25" s="1" t="s">
        <v>119</v>
      </c>
      <c r="J25" s="1" t="s">
        <v>135</v>
      </c>
      <c r="K25" s="1" t="s">
        <v>121</v>
      </c>
    </row>
    <row r="26" customFormat="false" ht="23" hidden="false" customHeight="true" outlineLevel="0" collapsed="false">
      <c r="A26" s="12" t="n">
        <v>45778</v>
      </c>
      <c r="B26" s="13" t="n">
        <v>2025</v>
      </c>
      <c r="C26" s="5" t="s">
        <v>122</v>
      </c>
      <c r="D26" s="5" t="s">
        <v>123</v>
      </c>
      <c r="E26" s="14" t="n">
        <v>333320</v>
      </c>
      <c r="F26" s="20" t="n">
        <f aca="false">E26/G26</f>
        <v>8333</v>
      </c>
      <c r="G26" s="14" t="n">
        <v>40</v>
      </c>
      <c r="H26" s="16" t="n">
        <f aca="false">E26*0.22</f>
        <v>73330.4</v>
      </c>
      <c r="I26" s="5" t="s">
        <v>119</v>
      </c>
      <c r="J26" s="5" t="s">
        <v>135</v>
      </c>
      <c r="K26" s="5" t="s">
        <v>121</v>
      </c>
    </row>
    <row r="27" customFormat="false" ht="23" hidden="false" customHeight="true" outlineLevel="0" collapsed="false">
      <c r="A27" s="7" t="n">
        <v>45778</v>
      </c>
      <c r="B27" s="8" t="n">
        <v>2025</v>
      </c>
      <c r="C27" s="1" t="s">
        <v>124</v>
      </c>
      <c r="D27" s="1" t="s">
        <v>125</v>
      </c>
      <c r="E27" s="9" t="n">
        <v>50000</v>
      </c>
      <c r="F27" s="1"/>
      <c r="G27" s="21"/>
      <c r="H27" s="11" t="n">
        <f aca="false">E27*0.25</f>
        <v>12500</v>
      </c>
      <c r="I27" s="1" t="s">
        <v>119</v>
      </c>
      <c r="J27" s="1" t="s">
        <v>135</v>
      </c>
      <c r="K27" s="1" t="s">
        <v>121</v>
      </c>
    </row>
    <row r="28" customFormat="false" ht="23" hidden="false" customHeight="true" outlineLevel="0" collapsed="false">
      <c r="A28" s="12" t="n">
        <v>45778</v>
      </c>
      <c r="B28" s="13" t="n">
        <v>2025</v>
      </c>
      <c r="C28" s="5" t="s">
        <v>126</v>
      </c>
      <c r="D28" s="5" t="s">
        <v>127</v>
      </c>
      <c r="E28" s="14" t="n">
        <v>0</v>
      </c>
      <c r="F28" s="5"/>
      <c r="G28" s="22"/>
      <c r="H28" s="16" t="n">
        <f aca="false">E28*0.25</f>
        <v>0</v>
      </c>
      <c r="I28" s="5" t="s">
        <v>128</v>
      </c>
      <c r="J28" s="5" t="s">
        <v>135</v>
      </c>
      <c r="K28" s="5" t="s">
        <v>121</v>
      </c>
    </row>
    <row r="29" customFormat="false" ht="23" hidden="false" customHeight="true" outlineLevel="0" collapsed="false">
      <c r="A29" s="7" t="n">
        <v>45778</v>
      </c>
      <c r="B29" s="8" t="n">
        <v>2025</v>
      </c>
      <c r="C29" s="1" t="s">
        <v>129</v>
      </c>
      <c r="D29" s="1" t="s">
        <v>130</v>
      </c>
      <c r="E29" s="9" t="n">
        <v>12500</v>
      </c>
      <c r="F29" s="1"/>
      <c r="G29" s="21"/>
      <c r="H29" s="11" t="n">
        <f aca="false">E29*0.25</f>
        <v>3125</v>
      </c>
      <c r="I29" s="1" t="s">
        <v>131</v>
      </c>
      <c r="J29" s="1" t="s">
        <v>135</v>
      </c>
      <c r="K29" s="1" t="s">
        <v>121</v>
      </c>
    </row>
    <row r="30" customFormat="false" ht="23" hidden="false" customHeight="true" outlineLevel="0" collapsed="false">
      <c r="A30" s="12" t="n">
        <v>45809</v>
      </c>
      <c r="B30" s="13" t="n">
        <v>2025</v>
      </c>
      <c r="C30" s="5" t="s">
        <v>117</v>
      </c>
      <c r="D30" s="5" t="s">
        <v>118</v>
      </c>
      <c r="E30" s="14" t="n">
        <v>416600</v>
      </c>
      <c r="F30" s="20" t="n">
        <f aca="false">E30/G30</f>
        <v>4166</v>
      </c>
      <c r="G30" s="14" t="n">
        <v>100</v>
      </c>
      <c r="H30" s="16" t="n">
        <f aca="false">E30*0.4</f>
        <v>166640</v>
      </c>
      <c r="I30" s="5" t="s">
        <v>119</v>
      </c>
      <c r="J30" s="5" t="s">
        <v>136</v>
      </c>
      <c r="K30" s="5" t="s">
        <v>121</v>
      </c>
    </row>
    <row r="31" customFormat="false" ht="23" hidden="false" customHeight="true" outlineLevel="0" collapsed="false">
      <c r="A31" s="7" t="n">
        <v>45809</v>
      </c>
      <c r="B31" s="8" t="n">
        <v>2025</v>
      </c>
      <c r="C31" s="1" t="s">
        <v>122</v>
      </c>
      <c r="D31" s="1" t="s">
        <v>123</v>
      </c>
      <c r="E31" s="9" t="n">
        <v>333320</v>
      </c>
      <c r="F31" s="19" t="n">
        <f aca="false">E31/G31</f>
        <v>8333</v>
      </c>
      <c r="G31" s="9" t="n">
        <v>40</v>
      </c>
      <c r="H31" s="11" t="n">
        <f aca="false">E31*0.22</f>
        <v>73330.4</v>
      </c>
      <c r="I31" s="1" t="s">
        <v>119</v>
      </c>
      <c r="J31" s="1" t="s">
        <v>136</v>
      </c>
      <c r="K31" s="1" t="s">
        <v>121</v>
      </c>
    </row>
    <row r="32" customFormat="false" ht="23" hidden="false" customHeight="true" outlineLevel="0" collapsed="false">
      <c r="A32" s="12" t="n">
        <v>45809</v>
      </c>
      <c r="B32" s="13" t="n">
        <v>2025</v>
      </c>
      <c r="C32" s="5" t="s">
        <v>124</v>
      </c>
      <c r="D32" s="5" t="s">
        <v>125</v>
      </c>
      <c r="E32" s="14" t="n">
        <v>50000</v>
      </c>
      <c r="F32" s="5"/>
      <c r="G32" s="22"/>
      <c r="H32" s="16" t="n">
        <f aca="false">E32*0.25</f>
        <v>12500</v>
      </c>
      <c r="I32" s="5" t="s">
        <v>119</v>
      </c>
      <c r="J32" s="5" t="s">
        <v>136</v>
      </c>
      <c r="K32" s="5" t="s">
        <v>121</v>
      </c>
    </row>
    <row r="33" customFormat="false" ht="23" hidden="false" customHeight="true" outlineLevel="0" collapsed="false">
      <c r="A33" s="7" t="n">
        <v>45809</v>
      </c>
      <c r="B33" s="8" t="n">
        <v>2025</v>
      </c>
      <c r="C33" s="1" t="s">
        <v>126</v>
      </c>
      <c r="D33" s="1" t="s">
        <v>127</v>
      </c>
      <c r="E33" s="9" t="n">
        <v>0</v>
      </c>
      <c r="F33" s="1"/>
      <c r="G33" s="21"/>
      <c r="H33" s="11" t="n">
        <f aca="false">E33*0.25</f>
        <v>0</v>
      </c>
      <c r="I33" s="1" t="s">
        <v>128</v>
      </c>
      <c r="J33" s="1" t="s">
        <v>136</v>
      </c>
      <c r="K33" s="1" t="s">
        <v>121</v>
      </c>
    </row>
    <row r="34" customFormat="false" ht="23" hidden="false" customHeight="true" outlineLevel="0" collapsed="false">
      <c r="A34" s="12" t="n">
        <v>45809</v>
      </c>
      <c r="B34" s="13" t="n">
        <v>2025</v>
      </c>
      <c r="C34" s="5" t="s">
        <v>129</v>
      </c>
      <c r="D34" s="5" t="s">
        <v>130</v>
      </c>
      <c r="E34" s="14" t="n">
        <v>12500</v>
      </c>
      <c r="F34" s="5"/>
      <c r="G34" s="22"/>
      <c r="H34" s="16" t="n">
        <f aca="false">E34*0.25</f>
        <v>3125</v>
      </c>
      <c r="I34" s="5" t="s">
        <v>131</v>
      </c>
      <c r="J34" s="5" t="s">
        <v>136</v>
      </c>
      <c r="K34" s="5" t="s">
        <v>121</v>
      </c>
    </row>
    <row r="35" customFormat="false" ht="23" hidden="false" customHeight="true" outlineLevel="0" collapsed="false">
      <c r="A35" s="7" t="n">
        <v>45839</v>
      </c>
      <c r="B35" s="8" t="n">
        <v>2025</v>
      </c>
      <c r="C35" s="1" t="s">
        <v>117</v>
      </c>
      <c r="D35" s="1" t="s">
        <v>118</v>
      </c>
      <c r="E35" s="9" t="n">
        <v>416600</v>
      </c>
      <c r="F35" s="19" t="n">
        <f aca="false">E35/G35</f>
        <v>4166</v>
      </c>
      <c r="G35" s="9" t="n">
        <v>100</v>
      </c>
      <c r="H35" s="11" t="n">
        <f aca="false">E35*0.4</f>
        <v>166640</v>
      </c>
      <c r="I35" s="1" t="s">
        <v>119</v>
      </c>
      <c r="J35" s="1" t="s">
        <v>137</v>
      </c>
      <c r="K35" s="1" t="s">
        <v>121</v>
      </c>
    </row>
    <row r="36" customFormat="false" ht="23" hidden="false" customHeight="true" outlineLevel="0" collapsed="false">
      <c r="A36" s="12" t="n">
        <v>45839</v>
      </c>
      <c r="B36" s="13" t="n">
        <v>2025</v>
      </c>
      <c r="C36" s="5" t="s">
        <v>122</v>
      </c>
      <c r="D36" s="5" t="s">
        <v>123</v>
      </c>
      <c r="E36" s="14" t="n">
        <v>333320</v>
      </c>
      <c r="F36" s="20" t="n">
        <f aca="false">E36/G36</f>
        <v>8333</v>
      </c>
      <c r="G36" s="14" t="n">
        <v>40</v>
      </c>
      <c r="H36" s="16" t="n">
        <f aca="false">E36*0.22</f>
        <v>73330.4</v>
      </c>
      <c r="I36" s="5" t="s">
        <v>119</v>
      </c>
      <c r="J36" s="5" t="s">
        <v>137</v>
      </c>
      <c r="K36" s="5" t="s">
        <v>121</v>
      </c>
    </row>
    <row r="37" customFormat="false" ht="23" hidden="false" customHeight="true" outlineLevel="0" collapsed="false">
      <c r="A37" s="7" t="n">
        <v>45839</v>
      </c>
      <c r="B37" s="8" t="n">
        <v>2025</v>
      </c>
      <c r="C37" s="1" t="s">
        <v>124</v>
      </c>
      <c r="D37" s="1" t="s">
        <v>125</v>
      </c>
      <c r="E37" s="9" t="n">
        <v>50000</v>
      </c>
      <c r="F37" s="1"/>
      <c r="G37" s="21"/>
      <c r="H37" s="11" t="n">
        <f aca="false">E37*0.25</f>
        <v>12500</v>
      </c>
      <c r="I37" s="1" t="s">
        <v>119</v>
      </c>
      <c r="J37" s="1" t="s">
        <v>137</v>
      </c>
      <c r="K37" s="1" t="s">
        <v>121</v>
      </c>
    </row>
    <row r="38" customFormat="false" ht="23" hidden="false" customHeight="true" outlineLevel="0" collapsed="false">
      <c r="A38" s="12" t="n">
        <v>45839</v>
      </c>
      <c r="B38" s="13" t="n">
        <v>2025</v>
      </c>
      <c r="C38" s="5" t="s">
        <v>126</v>
      </c>
      <c r="D38" s="5" t="s">
        <v>127</v>
      </c>
      <c r="E38" s="14" t="n">
        <v>0</v>
      </c>
      <c r="F38" s="5"/>
      <c r="G38" s="22"/>
      <c r="H38" s="16" t="n">
        <f aca="false">E38*0.25</f>
        <v>0</v>
      </c>
      <c r="I38" s="5" t="s">
        <v>128</v>
      </c>
      <c r="J38" s="5" t="s">
        <v>137</v>
      </c>
      <c r="K38" s="5" t="s">
        <v>121</v>
      </c>
    </row>
    <row r="39" customFormat="false" ht="23" hidden="false" customHeight="true" outlineLevel="0" collapsed="false">
      <c r="A39" s="7" t="n">
        <v>45839</v>
      </c>
      <c r="B39" s="8" t="n">
        <v>2025</v>
      </c>
      <c r="C39" s="1" t="s">
        <v>129</v>
      </c>
      <c r="D39" s="1" t="s">
        <v>130</v>
      </c>
      <c r="E39" s="9" t="n">
        <v>12500</v>
      </c>
      <c r="F39" s="1"/>
      <c r="G39" s="21"/>
      <c r="H39" s="11" t="n">
        <f aca="false">E39*0.25</f>
        <v>3125</v>
      </c>
      <c r="I39" s="1" t="s">
        <v>131</v>
      </c>
      <c r="J39" s="1" t="s">
        <v>137</v>
      </c>
      <c r="K39" s="1" t="s">
        <v>121</v>
      </c>
    </row>
    <row r="40" customFormat="false" ht="23" hidden="false" customHeight="true" outlineLevel="0" collapsed="false">
      <c r="A40" s="12" t="n">
        <v>45870</v>
      </c>
      <c r="B40" s="13" t="n">
        <v>2025</v>
      </c>
      <c r="C40" s="5" t="s">
        <v>117</v>
      </c>
      <c r="D40" s="5" t="s">
        <v>118</v>
      </c>
      <c r="E40" s="14" t="n">
        <v>416600</v>
      </c>
      <c r="F40" s="20" t="n">
        <f aca="false">E40/G40</f>
        <v>4166</v>
      </c>
      <c r="G40" s="14" t="n">
        <v>100</v>
      </c>
      <c r="H40" s="16" t="n">
        <f aca="false">E40*0.4</f>
        <v>166640</v>
      </c>
      <c r="I40" s="5" t="s">
        <v>119</v>
      </c>
      <c r="J40" s="5" t="s">
        <v>138</v>
      </c>
      <c r="K40" s="5" t="s">
        <v>121</v>
      </c>
    </row>
    <row r="41" customFormat="false" ht="23" hidden="false" customHeight="true" outlineLevel="0" collapsed="false">
      <c r="A41" s="7" t="n">
        <v>45870</v>
      </c>
      <c r="B41" s="8" t="n">
        <v>2025</v>
      </c>
      <c r="C41" s="1" t="s">
        <v>122</v>
      </c>
      <c r="D41" s="1" t="s">
        <v>123</v>
      </c>
      <c r="E41" s="9" t="n">
        <v>333320</v>
      </c>
      <c r="F41" s="19" t="n">
        <f aca="false">E41/G41</f>
        <v>8333</v>
      </c>
      <c r="G41" s="9" t="n">
        <v>40</v>
      </c>
      <c r="H41" s="11" t="n">
        <f aca="false">E41*0.22</f>
        <v>73330.4</v>
      </c>
      <c r="I41" s="1" t="s">
        <v>119</v>
      </c>
      <c r="J41" s="1" t="s">
        <v>138</v>
      </c>
      <c r="K41" s="1" t="s">
        <v>121</v>
      </c>
    </row>
    <row r="42" customFormat="false" ht="23" hidden="false" customHeight="true" outlineLevel="0" collapsed="false">
      <c r="A42" s="12" t="n">
        <v>45870</v>
      </c>
      <c r="B42" s="13" t="n">
        <v>2025</v>
      </c>
      <c r="C42" s="5" t="s">
        <v>124</v>
      </c>
      <c r="D42" s="5" t="s">
        <v>125</v>
      </c>
      <c r="E42" s="14" t="n">
        <v>50000</v>
      </c>
      <c r="F42" s="5"/>
      <c r="G42" s="22"/>
      <c r="H42" s="16" t="n">
        <f aca="false">E42*0.25</f>
        <v>12500</v>
      </c>
      <c r="I42" s="5" t="s">
        <v>119</v>
      </c>
      <c r="J42" s="5" t="s">
        <v>138</v>
      </c>
      <c r="K42" s="5" t="s">
        <v>121</v>
      </c>
    </row>
    <row r="43" customFormat="false" ht="23" hidden="false" customHeight="true" outlineLevel="0" collapsed="false">
      <c r="A43" s="7" t="n">
        <v>45870</v>
      </c>
      <c r="B43" s="8" t="n">
        <v>2025</v>
      </c>
      <c r="C43" s="1" t="s">
        <v>126</v>
      </c>
      <c r="D43" s="1" t="s">
        <v>127</v>
      </c>
      <c r="E43" s="9" t="n">
        <v>0</v>
      </c>
      <c r="F43" s="1"/>
      <c r="G43" s="21"/>
      <c r="H43" s="11" t="n">
        <f aca="false">E43*0.25</f>
        <v>0</v>
      </c>
      <c r="I43" s="1" t="s">
        <v>128</v>
      </c>
      <c r="J43" s="1" t="s">
        <v>138</v>
      </c>
      <c r="K43" s="1" t="s">
        <v>121</v>
      </c>
    </row>
    <row r="44" customFormat="false" ht="23" hidden="false" customHeight="true" outlineLevel="0" collapsed="false">
      <c r="A44" s="12" t="n">
        <v>45870</v>
      </c>
      <c r="B44" s="13" t="n">
        <v>2025</v>
      </c>
      <c r="C44" s="5" t="s">
        <v>129</v>
      </c>
      <c r="D44" s="5" t="s">
        <v>130</v>
      </c>
      <c r="E44" s="14" t="n">
        <v>12500</v>
      </c>
      <c r="F44" s="5"/>
      <c r="G44" s="22"/>
      <c r="H44" s="16" t="n">
        <f aca="false">E44*0.25</f>
        <v>3125</v>
      </c>
      <c r="I44" s="5" t="s">
        <v>131</v>
      </c>
      <c r="J44" s="5" t="s">
        <v>138</v>
      </c>
      <c r="K44" s="5" t="s">
        <v>121</v>
      </c>
    </row>
    <row r="45" customFormat="false" ht="23" hidden="false" customHeight="true" outlineLevel="0" collapsed="false">
      <c r="A45" s="7" t="n">
        <v>45901</v>
      </c>
      <c r="B45" s="8" t="n">
        <v>2025</v>
      </c>
      <c r="C45" s="1" t="s">
        <v>117</v>
      </c>
      <c r="D45" s="1" t="s">
        <v>118</v>
      </c>
      <c r="E45" s="9" t="n">
        <v>416600</v>
      </c>
      <c r="F45" s="19" t="n">
        <f aca="false">E45/G45</f>
        <v>4166</v>
      </c>
      <c r="G45" s="9" t="n">
        <v>100</v>
      </c>
      <c r="H45" s="11" t="n">
        <f aca="false">E45*0.4</f>
        <v>166640</v>
      </c>
      <c r="I45" s="1" t="s">
        <v>119</v>
      </c>
      <c r="J45" s="1" t="s">
        <v>139</v>
      </c>
      <c r="K45" s="1" t="s">
        <v>121</v>
      </c>
    </row>
    <row r="46" customFormat="false" ht="23" hidden="false" customHeight="true" outlineLevel="0" collapsed="false">
      <c r="A46" s="12" t="n">
        <v>45901</v>
      </c>
      <c r="B46" s="13" t="n">
        <v>2025</v>
      </c>
      <c r="C46" s="5" t="s">
        <v>122</v>
      </c>
      <c r="D46" s="5" t="s">
        <v>123</v>
      </c>
      <c r="E46" s="14" t="n">
        <v>333320</v>
      </c>
      <c r="F46" s="20" t="n">
        <f aca="false">E46/G46</f>
        <v>8333</v>
      </c>
      <c r="G46" s="14" t="n">
        <v>40</v>
      </c>
      <c r="H46" s="16" t="n">
        <f aca="false">E46*0.22</f>
        <v>73330.4</v>
      </c>
      <c r="I46" s="5" t="s">
        <v>119</v>
      </c>
      <c r="J46" s="5" t="s">
        <v>139</v>
      </c>
      <c r="K46" s="5" t="s">
        <v>121</v>
      </c>
    </row>
    <row r="47" customFormat="false" ht="23" hidden="false" customHeight="true" outlineLevel="0" collapsed="false">
      <c r="A47" s="7" t="n">
        <v>45901</v>
      </c>
      <c r="B47" s="8" t="n">
        <v>2025</v>
      </c>
      <c r="C47" s="1" t="s">
        <v>124</v>
      </c>
      <c r="D47" s="1" t="s">
        <v>125</v>
      </c>
      <c r="E47" s="9" t="n">
        <v>50000</v>
      </c>
      <c r="F47" s="1"/>
      <c r="G47" s="21"/>
      <c r="H47" s="11" t="n">
        <f aca="false">E47*0.25</f>
        <v>12500</v>
      </c>
      <c r="I47" s="1" t="s">
        <v>119</v>
      </c>
      <c r="J47" s="1" t="s">
        <v>139</v>
      </c>
      <c r="K47" s="1" t="s">
        <v>121</v>
      </c>
    </row>
    <row r="48" customFormat="false" ht="23" hidden="false" customHeight="true" outlineLevel="0" collapsed="false">
      <c r="A48" s="12" t="n">
        <v>45901</v>
      </c>
      <c r="B48" s="13" t="n">
        <v>2025</v>
      </c>
      <c r="C48" s="5" t="s">
        <v>126</v>
      </c>
      <c r="D48" s="5" t="s">
        <v>127</v>
      </c>
      <c r="E48" s="14" t="n">
        <v>0</v>
      </c>
      <c r="F48" s="5"/>
      <c r="G48" s="22"/>
      <c r="H48" s="16" t="n">
        <f aca="false">E48*0.25</f>
        <v>0</v>
      </c>
      <c r="I48" s="5" t="s">
        <v>128</v>
      </c>
      <c r="J48" s="5" t="s">
        <v>139</v>
      </c>
      <c r="K48" s="5" t="s">
        <v>121</v>
      </c>
    </row>
    <row r="49" customFormat="false" ht="23" hidden="false" customHeight="true" outlineLevel="0" collapsed="false">
      <c r="A49" s="7" t="n">
        <v>45901</v>
      </c>
      <c r="B49" s="8" t="n">
        <v>2025</v>
      </c>
      <c r="C49" s="1" t="s">
        <v>129</v>
      </c>
      <c r="D49" s="1" t="s">
        <v>130</v>
      </c>
      <c r="E49" s="9" t="n">
        <v>12500</v>
      </c>
      <c r="F49" s="1"/>
      <c r="G49" s="21"/>
      <c r="H49" s="11" t="n">
        <f aca="false">E49*0.25</f>
        <v>3125</v>
      </c>
      <c r="I49" s="1" t="s">
        <v>131</v>
      </c>
      <c r="J49" s="1" t="s">
        <v>139</v>
      </c>
      <c r="K49" s="1" t="s">
        <v>121</v>
      </c>
    </row>
    <row r="50" customFormat="false" ht="23" hidden="false" customHeight="true" outlineLevel="0" collapsed="false">
      <c r="A50" s="12" t="n">
        <v>45931</v>
      </c>
      <c r="B50" s="13" t="n">
        <v>2025</v>
      </c>
      <c r="C50" s="5" t="s">
        <v>117</v>
      </c>
      <c r="D50" s="5" t="s">
        <v>118</v>
      </c>
      <c r="E50" s="14" t="n">
        <v>416600</v>
      </c>
      <c r="F50" s="20" t="n">
        <f aca="false">E50/G50</f>
        <v>4166</v>
      </c>
      <c r="G50" s="14" t="n">
        <v>100</v>
      </c>
      <c r="H50" s="16" t="n">
        <f aca="false">E50*0.4</f>
        <v>166640</v>
      </c>
      <c r="I50" s="5" t="s">
        <v>119</v>
      </c>
      <c r="J50" s="5" t="s">
        <v>140</v>
      </c>
      <c r="K50" s="5" t="s">
        <v>121</v>
      </c>
    </row>
    <row r="51" customFormat="false" ht="23" hidden="false" customHeight="true" outlineLevel="0" collapsed="false">
      <c r="A51" s="7" t="n">
        <v>45931</v>
      </c>
      <c r="B51" s="8" t="n">
        <v>2025</v>
      </c>
      <c r="C51" s="1" t="s">
        <v>122</v>
      </c>
      <c r="D51" s="1" t="s">
        <v>123</v>
      </c>
      <c r="E51" s="9" t="n">
        <v>333320</v>
      </c>
      <c r="F51" s="19" t="n">
        <f aca="false">E51/G51</f>
        <v>8333</v>
      </c>
      <c r="G51" s="9" t="n">
        <v>40</v>
      </c>
      <c r="H51" s="11" t="n">
        <f aca="false">E51*0.22</f>
        <v>73330.4</v>
      </c>
      <c r="I51" s="1" t="s">
        <v>119</v>
      </c>
      <c r="J51" s="1" t="s">
        <v>140</v>
      </c>
      <c r="K51" s="1" t="s">
        <v>121</v>
      </c>
    </row>
    <row r="52" customFormat="false" ht="23" hidden="false" customHeight="true" outlineLevel="0" collapsed="false">
      <c r="A52" s="12" t="n">
        <v>45931</v>
      </c>
      <c r="B52" s="13" t="n">
        <v>2025</v>
      </c>
      <c r="C52" s="5" t="s">
        <v>124</v>
      </c>
      <c r="D52" s="5" t="s">
        <v>125</v>
      </c>
      <c r="E52" s="14" t="n">
        <v>50000</v>
      </c>
      <c r="F52" s="5"/>
      <c r="G52" s="22"/>
      <c r="H52" s="16" t="n">
        <f aca="false">E52*0.25</f>
        <v>12500</v>
      </c>
      <c r="I52" s="5" t="s">
        <v>119</v>
      </c>
      <c r="J52" s="5" t="s">
        <v>140</v>
      </c>
      <c r="K52" s="5" t="s">
        <v>121</v>
      </c>
    </row>
    <row r="53" customFormat="false" ht="23" hidden="false" customHeight="true" outlineLevel="0" collapsed="false">
      <c r="A53" s="7" t="n">
        <v>45931</v>
      </c>
      <c r="B53" s="8" t="n">
        <v>2025</v>
      </c>
      <c r="C53" s="1" t="s">
        <v>126</v>
      </c>
      <c r="D53" s="1" t="s">
        <v>127</v>
      </c>
      <c r="E53" s="9" t="n">
        <v>0</v>
      </c>
      <c r="F53" s="1"/>
      <c r="G53" s="21"/>
      <c r="H53" s="11" t="n">
        <f aca="false">E53*0.25</f>
        <v>0</v>
      </c>
      <c r="I53" s="1" t="s">
        <v>128</v>
      </c>
      <c r="J53" s="1" t="s">
        <v>140</v>
      </c>
      <c r="K53" s="1" t="s">
        <v>121</v>
      </c>
    </row>
    <row r="54" customFormat="false" ht="23" hidden="false" customHeight="true" outlineLevel="0" collapsed="false">
      <c r="A54" s="12" t="n">
        <v>45931</v>
      </c>
      <c r="B54" s="13" t="n">
        <v>2025</v>
      </c>
      <c r="C54" s="5" t="s">
        <v>129</v>
      </c>
      <c r="D54" s="5" t="s">
        <v>130</v>
      </c>
      <c r="E54" s="14" t="n">
        <v>12500</v>
      </c>
      <c r="F54" s="5"/>
      <c r="G54" s="22"/>
      <c r="H54" s="16" t="n">
        <f aca="false">E54*0.25</f>
        <v>3125</v>
      </c>
      <c r="I54" s="5" t="s">
        <v>131</v>
      </c>
      <c r="J54" s="5" t="s">
        <v>140</v>
      </c>
      <c r="K54" s="5" t="s">
        <v>121</v>
      </c>
    </row>
    <row r="55" customFormat="false" ht="23" hidden="false" customHeight="true" outlineLevel="0" collapsed="false">
      <c r="A55" s="7" t="n">
        <v>45962</v>
      </c>
      <c r="B55" s="8" t="n">
        <v>2025</v>
      </c>
      <c r="C55" s="1" t="s">
        <v>117</v>
      </c>
      <c r="D55" s="1" t="s">
        <v>118</v>
      </c>
      <c r="E55" s="9" t="n">
        <v>416600</v>
      </c>
      <c r="F55" s="19" t="n">
        <f aca="false">E55/G55</f>
        <v>4166</v>
      </c>
      <c r="G55" s="9" t="n">
        <v>100</v>
      </c>
      <c r="H55" s="11" t="n">
        <f aca="false">E55*0.4</f>
        <v>166640</v>
      </c>
      <c r="I55" s="1" t="s">
        <v>119</v>
      </c>
      <c r="J55" s="1" t="s">
        <v>141</v>
      </c>
      <c r="K55" s="1" t="s">
        <v>121</v>
      </c>
    </row>
    <row r="56" customFormat="false" ht="23" hidden="false" customHeight="true" outlineLevel="0" collapsed="false">
      <c r="A56" s="12" t="n">
        <v>45962</v>
      </c>
      <c r="B56" s="13" t="n">
        <v>2025</v>
      </c>
      <c r="C56" s="5" t="s">
        <v>122</v>
      </c>
      <c r="D56" s="5" t="s">
        <v>123</v>
      </c>
      <c r="E56" s="14" t="n">
        <v>333320</v>
      </c>
      <c r="F56" s="20" t="n">
        <f aca="false">E56/G56</f>
        <v>8333</v>
      </c>
      <c r="G56" s="14" t="n">
        <v>40</v>
      </c>
      <c r="H56" s="16" t="n">
        <f aca="false">E56*0.22</f>
        <v>73330.4</v>
      </c>
      <c r="I56" s="5" t="s">
        <v>119</v>
      </c>
      <c r="J56" s="5" t="s">
        <v>141</v>
      </c>
      <c r="K56" s="5" t="s">
        <v>121</v>
      </c>
    </row>
    <row r="57" customFormat="false" ht="23" hidden="false" customHeight="true" outlineLevel="0" collapsed="false">
      <c r="A57" s="7" t="n">
        <v>45962</v>
      </c>
      <c r="B57" s="8" t="n">
        <v>2025</v>
      </c>
      <c r="C57" s="1" t="s">
        <v>124</v>
      </c>
      <c r="D57" s="1" t="s">
        <v>125</v>
      </c>
      <c r="E57" s="9" t="n">
        <v>50000</v>
      </c>
      <c r="F57" s="1"/>
      <c r="G57" s="21"/>
      <c r="H57" s="11" t="n">
        <f aca="false">E57*0.25</f>
        <v>12500</v>
      </c>
      <c r="I57" s="1" t="s">
        <v>119</v>
      </c>
      <c r="J57" s="1" t="s">
        <v>141</v>
      </c>
      <c r="K57" s="1" t="s">
        <v>121</v>
      </c>
    </row>
    <row r="58" customFormat="false" ht="23" hidden="false" customHeight="true" outlineLevel="0" collapsed="false">
      <c r="A58" s="12" t="n">
        <v>45962</v>
      </c>
      <c r="B58" s="13" t="n">
        <v>2025</v>
      </c>
      <c r="C58" s="5" t="s">
        <v>126</v>
      </c>
      <c r="D58" s="5" t="s">
        <v>127</v>
      </c>
      <c r="E58" s="14" t="n">
        <v>0</v>
      </c>
      <c r="F58" s="5"/>
      <c r="G58" s="22"/>
      <c r="H58" s="16" t="n">
        <f aca="false">E58*0.25</f>
        <v>0</v>
      </c>
      <c r="I58" s="5" t="s">
        <v>128</v>
      </c>
      <c r="J58" s="5" t="s">
        <v>141</v>
      </c>
      <c r="K58" s="5" t="s">
        <v>121</v>
      </c>
    </row>
    <row r="59" customFormat="false" ht="23" hidden="false" customHeight="true" outlineLevel="0" collapsed="false">
      <c r="A59" s="7" t="n">
        <v>45962</v>
      </c>
      <c r="B59" s="8" t="n">
        <v>2025</v>
      </c>
      <c r="C59" s="1" t="s">
        <v>129</v>
      </c>
      <c r="D59" s="1" t="s">
        <v>130</v>
      </c>
      <c r="E59" s="9" t="n">
        <v>12500</v>
      </c>
      <c r="F59" s="1"/>
      <c r="G59" s="21"/>
      <c r="H59" s="11" t="n">
        <f aca="false">E59*0.25</f>
        <v>3125</v>
      </c>
      <c r="I59" s="1" t="s">
        <v>131</v>
      </c>
      <c r="J59" s="1" t="s">
        <v>141</v>
      </c>
      <c r="K59" s="1" t="s">
        <v>121</v>
      </c>
    </row>
    <row r="60" customFormat="false" ht="23" hidden="false" customHeight="true" outlineLevel="0" collapsed="false">
      <c r="A60" s="12" t="n">
        <v>45992</v>
      </c>
      <c r="B60" s="13" t="n">
        <v>2025</v>
      </c>
      <c r="C60" s="5" t="s">
        <v>117</v>
      </c>
      <c r="D60" s="5" t="s">
        <v>118</v>
      </c>
      <c r="E60" s="14" t="n">
        <v>417400</v>
      </c>
      <c r="F60" s="20" t="n">
        <f aca="false">E60/G60</f>
        <v>4174</v>
      </c>
      <c r="G60" s="14" t="n">
        <v>100</v>
      </c>
      <c r="H60" s="16" t="n">
        <f aca="false">E60*0.4</f>
        <v>166960</v>
      </c>
      <c r="I60" s="5" t="s">
        <v>119</v>
      </c>
      <c r="J60" s="5" t="s">
        <v>142</v>
      </c>
      <c r="K60" s="5" t="s">
        <v>121</v>
      </c>
    </row>
    <row r="61" customFormat="false" ht="23" hidden="false" customHeight="true" outlineLevel="0" collapsed="false">
      <c r="A61" s="7" t="n">
        <v>45992</v>
      </c>
      <c r="B61" s="8" t="n">
        <v>2025</v>
      </c>
      <c r="C61" s="1" t="s">
        <v>122</v>
      </c>
      <c r="D61" s="1" t="s">
        <v>123</v>
      </c>
      <c r="E61" s="9" t="n">
        <v>333480</v>
      </c>
      <c r="F61" s="19" t="n">
        <f aca="false">E61/G61</f>
        <v>8337</v>
      </c>
      <c r="G61" s="9" t="n">
        <v>40</v>
      </c>
      <c r="H61" s="11" t="n">
        <f aca="false">E61*0.22</f>
        <v>73365.6</v>
      </c>
      <c r="I61" s="1" t="s">
        <v>119</v>
      </c>
      <c r="J61" s="1" t="s">
        <v>142</v>
      </c>
      <c r="K61" s="1" t="s">
        <v>121</v>
      </c>
    </row>
    <row r="62" customFormat="false" ht="23" hidden="false" customHeight="true" outlineLevel="0" collapsed="false">
      <c r="A62" s="12" t="n">
        <v>45992</v>
      </c>
      <c r="B62" s="13" t="n">
        <v>2025</v>
      </c>
      <c r="C62" s="5" t="s">
        <v>124</v>
      </c>
      <c r="D62" s="5" t="s">
        <v>125</v>
      </c>
      <c r="E62" s="14" t="n">
        <v>50000</v>
      </c>
      <c r="F62" s="5"/>
      <c r="G62" s="22"/>
      <c r="H62" s="16" t="n">
        <f aca="false">E62*0.25</f>
        <v>12500</v>
      </c>
      <c r="I62" s="5" t="s">
        <v>119</v>
      </c>
      <c r="J62" s="5" t="s">
        <v>142</v>
      </c>
      <c r="K62" s="5" t="s">
        <v>121</v>
      </c>
    </row>
    <row r="63" customFormat="false" ht="23" hidden="false" customHeight="true" outlineLevel="0" collapsed="false">
      <c r="A63" s="7" t="n">
        <v>45992</v>
      </c>
      <c r="B63" s="8" t="n">
        <v>2025</v>
      </c>
      <c r="C63" s="1" t="s">
        <v>126</v>
      </c>
      <c r="D63" s="1" t="s">
        <v>127</v>
      </c>
      <c r="E63" s="9" t="n">
        <v>0</v>
      </c>
      <c r="F63" s="1"/>
      <c r="G63" s="21"/>
      <c r="H63" s="11" t="n">
        <f aca="false">E63*0.25</f>
        <v>0</v>
      </c>
      <c r="I63" s="1" t="s">
        <v>128</v>
      </c>
      <c r="J63" s="1" t="s">
        <v>142</v>
      </c>
      <c r="K63" s="1" t="s">
        <v>121</v>
      </c>
    </row>
    <row r="64" customFormat="false" ht="23" hidden="false" customHeight="true" outlineLevel="0" collapsed="false">
      <c r="A64" s="12" t="n">
        <v>45992</v>
      </c>
      <c r="B64" s="13" t="n">
        <v>2025</v>
      </c>
      <c r="C64" s="5" t="s">
        <v>129</v>
      </c>
      <c r="D64" s="5" t="s">
        <v>130</v>
      </c>
      <c r="E64" s="14" t="n">
        <v>12500</v>
      </c>
      <c r="F64" s="5"/>
      <c r="G64" s="22"/>
      <c r="H64" s="16" t="n">
        <f aca="false">E64*0.25</f>
        <v>3125</v>
      </c>
      <c r="I64" s="5" t="s">
        <v>131</v>
      </c>
      <c r="J64" s="5" t="s">
        <v>142</v>
      </c>
      <c r="K64" s="5" t="s">
        <v>121</v>
      </c>
    </row>
    <row r="65" customFormat="false" ht="23" hidden="false" customHeight="true" outlineLevel="0" collapsed="false">
      <c r="A65" s="7" t="n">
        <v>46023</v>
      </c>
      <c r="B65" s="8" t="n">
        <v>2026</v>
      </c>
      <c r="C65" s="1" t="s">
        <v>117</v>
      </c>
      <c r="D65" s="1" t="s">
        <v>118</v>
      </c>
      <c r="E65" s="9" t="n">
        <v>429098</v>
      </c>
      <c r="F65" s="19" t="n">
        <f aca="false">E65/G65</f>
        <v>4166</v>
      </c>
      <c r="G65" s="9" t="n">
        <v>103</v>
      </c>
      <c r="H65" s="11" t="n">
        <f aca="false">E65*0.38</f>
        <v>163057.24</v>
      </c>
      <c r="I65" s="1" t="s">
        <v>119</v>
      </c>
      <c r="J65" s="1" t="s">
        <v>143</v>
      </c>
      <c r="K65" s="1" t="s">
        <v>121</v>
      </c>
    </row>
    <row r="66" customFormat="false" ht="23" hidden="false" customHeight="true" outlineLevel="0" collapsed="false">
      <c r="A66" s="12" t="n">
        <v>46023</v>
      </c>
      <c r="B66" s="13" t="n">
        <v>2026</v>
      </c>
      <c r="C66" s="5" t="s">
        <v>122</v>
      </c>
      <c r="D66" s="5" t="s">
        <v>123</v>
      </c>
      <c r="E66" s="14" t="n">
        <v>450000</v>
      </c>
      <c r="F66" s="20" t="n">
        <f aca="false">E66/G66</f>
        <v>11250</v>
      </c>
      <c r="G66" s="14" t="n">
        <v>40</v>
      </c>
      <c r="H66" s="16" t="n">
        <f aca="false">E66*0.2</f>
        <v>90000</v>
      </c>
      <c r="I66" s="5" t="s">
        <v>119</v>
      </c>
      <c r="J66" s="5" t="s">
        <v>143</v>
      </c>
      <c r="K66" s="5" t="s">
        <v>121</v>
      </c>
    </row>
    <row r="67" customFormat="false" ht="23" hidden="false" customHeight="true" outlineLevel="0" collapsed="false">
      <c r="A67" s="7" t="n">
        <v>46023</v>
      </c>
      <c r="B67" s="8" t="n">
        <v>2026</v>
      </c>
      <c r="C67" s="1" t="s">
        <v>124</v>
      </c>
      <c r="D67" s="1" t="s">
        <v>125</v>
      </c>
      <c r="E67" s="9" t="n">
        <v>35416.67</v>
      </c>
      <c r="F67" s="1"/>
      <c r="G67" s="21"/>
      <c r="H67" s="11" t="n">
        <f aca="false">E67*0.25</f>
        <v>8854.1675</v>
      </c>
      <c r="I67" s="1" t="s">
        <v>119</v>
      </c>
      <c r="J67" s="1" t="s">
        <v>143</v>
      </c>
      <c r="K67" s="1" t="s">
        <v>121</v>
      </c>
    </row>
    <row r="68" customFormat="false" ht="23" hidden="false" customHeight="true" outlineLevel="0" collapsed="false">
      <c r="A68" s="12" t="n">
        <v>46023</v>
      </c>
      <c r="B68" s="13" t="n">
        <v>2026</v>
      </c>
      <c r="C68" s="5" t="s">
        <v>126</v>
      </c>
      <c r="D68" s="5" t="s">
        <v>127</v>
      </c>
      <c r="E68" s="14" t="n">
        <v>41666.67</v>
      </c>
      <c r="F68" s="5"/>
      <c r="G68" s="22"/>
      <c r="H68" s="16" t="n">
        <f aca="false">E68*0.25</f>
        <v>10416.6675</v>
      </c>
      <c r="I68" s="5" t="s">
        <v>128</v>
      </c>
      <c r="J68" s="5" t="s">
        <v>143</v>
      </c>
      <c r="K68" s="5" t="s">
        <v>121</v>
      </c>
    </row>
    <row r="69" customFormat="false" ht="23" hidden="false" customHeight="true" outlineLevel="0" collapsed="false">
      <c r="A69" s="7" t="n">
        <v>46023</v>
      </c>
      <c r="B69" s="8" t="n">
        <v>2026</v>
      </c>
      <c r="C69" s="1" t="s">
        <v>129</v>
      </c>
      <c r="D69" s="1" t="s">
        <v>130</v>
      </c>
      <c r="E69" s="9" t="n">
        <v>0</v>
      </c>
      <c r="F69" s="1"/>
      <c r="G69" s="21"/>
      <c r="H69" s="11" t="n">
        <f aca="false">E69*0.25</f>
        <v>0</v>
      </c>
      <c r="I69" s="1" t="s">
        <v>131</v>
      </c>
      <c r="J69" s="1" t="s">
        <v>143</v>
      </c>
      <c r="K69" s="1" t="s">
        <v>121</v>
      </c>
    </row>
    <row r="70" customFormat="false" ht="23" hidden="false" customHeight="true" outlineLevel="0" collapsed="false">
      <c r="A70" s="12" t="n">
        <v>46054</v>
      </c>
      <c r="B70" s="13" t="n">
        <v>2026</v>
      </c>
      <c r="C70" s="5" t="s">
        <v>117</v>
      </c>
      <c r="D70" s="5" t="s">
        <v>118</v>
      </c>
      <c r="E70" s="14" t="n">
        <v>429098</v>
      </c>
      <c r="F70" s="20" t="n">
        <f aca="false">E70/G70</f>
        <v>4166</v>
      </c>
      <c r="G70" s="14" t="n">
        <v>103</v>
      </c>
      <c r="H70" s="16" t="n">
        <f aca="false">E70*0.38</f>
        <v>163057.24</v>
      </c>
      <c r="I70" s="5" t="s">
        <v>119</v>
      </c>
      <c r="J70" s="5" t="s">
        <v>144</v>
      </c>
      <c r="K70" s="5" t="s">
        <v>121</v>
      </c>
    </row>
    <row r="71" customFormat="false" ht="23" hidden="false" customHeight="true" outlineLevel="0" collapsed="false">
      <c r="A71" s="7" t="n">
        <v>46054</v>
      </c>
      <c r="B71" s="8" t="n">
        <v>2026</v>
      </c>
      <c r="C71" s="1" t="s">
        <v>122</v>
      </c>
      <c r="D71" s="1" t="s">
        <v>123</v>
      </c>
      <c r="E71" s="9" t="n">
        <v>450000</v>
      </c>
      <c r="F71" s="19" t="n">
        <f aca="false">E71/G71</f>
        <v>11250</v>
      </c>
      <c r="G71" s="9" t="n">
        <v>40</v>
      </c>
      <c r="H71" s="11" t="n">
        <f aca="false">E71*0.2</f>
        <v>90000</v>
      </c>
      <c r="I71" s="1" t="s">
        <v>119</v>
      </c>
      <c r="J71" s="1" t="s">
        <v>144</v>
      </c>
      <c r="K71" s="1" t="s">
        <v>121</v>
      </c>
    </row>
    <row r="72" customFormat="false" ht="23" hidden="false" customHeight="true" outlineLevel="0" collapsed="false">
      <c r="A72" s="12" t="n">
        <v>46054</v>
      </c>
      <c r="B72" s="13" t="n">
        <v>2026</v>
      </c>
      <c r="C72" s="5" t="s">
        <v>124</v>
      </c>
      <c r="D72" s="5" t="s">
        <v>125</v>
      </c>
      <c r="E72" s="14" t="n">
        <v>35416.67</v>
      </c>
      <c r="F72" s="5"/>
      <c r="G72" s="22"/>
      <c r="H72" s="16" t="n">
        <f aca="false">E72*0.25</f>
        <v>8854.1675</v>
      </c>
      <c r="I72" s="5" t="s">
        <v>119</v>
      </c>
      <c r="J72" s="5" t="s">
        <v>144</v>
      </c>
      <c r="K72" s="5" t="s">
        <v>121</v>
      </c>
    </row>
    <row r="73" customFormat="false" ht="23" hidden="false" customHeight="true" outlineLevel="0" collapsed="false">
      <c r="A73" s="7" t="n">
        <v>46054</v>
      </c>
      <c r="B73" s="8" t="n">
        <v>2026</v>
      </c>
      <c r="C73" s="1" t="s">
        <v>126</v>
      </c>
      <c r="D73" s="1" t="s">
        <v>127</v>
      </c>
      <c r="E73" s="9" t="n">
        <v>41666.67</v>
      </c>
      <c r="F73" s="1"/>
      <c r="G73" s="21"/>
      <c r="H73" s="11" t="n">
        <f aca="false">E73*0.25</f>
        <v>10416.6675</v>
      </c>
      <c r="I73" s="1" t="s">
        <v>128</v>
      </c>
      <c r="J73" s="1" t="s">
        <v>144</v>
      </c>
      <c r="K73" s="1" t="s">
        <v>121</v>
      </c>
    </row>
    <row r="74" customFormat="false" ht="23" hidden="false" customHeight="true" outlineLevel="0" collapsed="false">
      <c r="A74" s="12" t="n">
        <v>46054</v>
      </c>
      <c r="B74" s="13" t="n">
        <v>2026</v>
      </c>
      <c r="C74" s="5" t="s">
        <v>129</v>
      </c>
      <c r="D74" s="5" t="s">
        <v>130</v>
      </c>
      <c r="E74" s="14" t="n">
        <v>0</v>
      </c>
      <c r="F74" s="5"/>
      <c r="G74" s="22"/>
      <c r="H74" s="16" t="n">
        <f aca="false">E74*0.25</f>
        <v>0</v>
      </c>
      <c r="I74" s="5" t="s">
        <v>131</v>
      </c>
      <c r="J74" s="5" t="s">
        <v>144</v>
      </c>
      <c r="K74" s="5" t="s">
        <v>121</v>
      </c>
    </row>
    <row r="75" customFormat="false" ht="23" hidden="false" customHeight="true" outlineLevel="0" collapsed="false">
      <c r="A75" s="7" t="n">
        <v>46082</v>
      </c>
      <c r="B75" s="8" t="n">
        <v>2026</v>
      </c>
      <c r="C75" s="1" t="s">
        <v>117</v>
      </c>
      <c r="D75" s="1" t="s">
        <v>118</v>
      </c>
      <c r="E75" s="9" t="n">
        <v>429098</v>
      </c>
      <c r="F75" s="19" t="n">
        <f aca="false">E75/G75</f>
        <v>4166</v>
      </c>
      <c r="G75" s="9" t="n">
        <v>103</v>
      </c>
      <c r="H75" s="11" t="n">
        <f aca="false">E75*0.38</f>
        <v>163057.24</v>
      </c>
      <c r="I75" s="1" t="s">
        <v>119</v>
      </c>
      <c r="J75" s="1" t="s">
        <v>145</v>
      </c>
      <c r="K75" s="1" t="s">
        <v>121</v>
      </c>
    </row>
    <row r="76" customFormat="false" ht="23" hidden="false" customHeight="true" outlineLevel="0" collapsed="false">
      <c r="A76" s="12" t="n">
        <v>46082</v>
      </c>
      <c r="B76" s="13" t="n">
        <v>2026</v>
      </c>
      <c r="C76" s="5" t="s">
        <v>122</v>
      </c>
      <c r="D76" s="5" t="s">
        <v>123</v>
      </c>
      <c r="E76" s="14" t="n">
        <v>450000</v>
      </c>
      <c r="F76" s="20" t="n">
        <f aca="false">E76/G76</f>
        <v>11250</v>
      </c>
      <c r="G76" s="14" t="n">
        <v>40</v>
      </c>
      <c r="H76" s="16" t="n">
        <f aca="false">E76*0.2</f>
        <v>90000</v>
      </c>
      <c r="I76" s="5" t="s">
        <v>119</v>
      </c>
      <c r="J76" s="5" t="s">
        <v>145</v>
      </c>
      <c r="K76" s="5" t="s">
        <v>121</v>
      </c>
    </row>
    <row r="77" customFormat="false" ht="23" hidden="false" customHeight="true" outlineLevel="0" collapsed="false">
      <c r="A77" s="7" t="n">
        <v>46082</v>
      </c>
      <c r="B77" s="8" t="n">
        <v>2026</v>
      </c>
      <c r="C77" s="1" t="s">
        <v>124</v>
      </c>
      <c r="D77" s="1" t="s">
        <v>125</v>
      </c>
      <c r="E77" s="9" t="n">
        <v>35416.67</v>
      </c>
      <c r="F77" s="1"/>
      <c r="G77" s="21"/>
      <c r="H77" s="11" t="n">
        <f aca="false">E77*0.25</f>
        <v>8854.1675</v>
      </c>
      <c r="I77" s="1" t="s">
        <v>119</v>
      </c>
      <c r="J77" s="1" t="s">
        <v>145</v>
      </c>
      <c r="K77" s="1" t="s">
        <v>121</v>
      </c>
    </row>
    <row r="78" customFormat="false" ht="23" hidden="false" customHeight="true" outlineLevel="0" collapsed="false">
      <c r="A78" s="12" t="n">
        <v>46082</v>
      </c>
      <c r="B78" s="13" t="n">
        <v>2026</v>
      </c>
      <c r="C78" s="5" t="s">
        <v>126</v>
      </c>
      <c r="D78" s="5" t="s">
        <v>127</v>
      </c>
      <c r="E78" s="14" t="n">
        <v>41666.67</v>
      </c>
      <c r="F78" s="5"/>
      <c r="G78" s="22"/>
      <c r="H78" s="16" t="n">
        <f aca="false">E78*0.25</f>
        <v>10416.6675</v>
      </c>
      <c r="I78" s="5" t="s">
        <v>128</v>
      </c>
      <c r="J78" s="5" t="s">
        <v>145</v>
      </c>
      <c r="K78" s="5" t="s">
        <v>121</v>
      </c>
    </row>
    <row r="79" customFormat="false" ht="23" hidden="false" customHeight="true" outlineLevel="0" collapsed="false">
      <c r="A79" s="7" t="n">
        <v>46082</v>
      </c>
      <c r="B79" s="8" t="n">
        <v>2026</v>
      </c>
      <c r="C79" s="1" t="s">
        <v>129</v>
      </c>
      <c r="D79" s="1" t="s">
        <v>130</v>
      </c>
      <c r="E79" s="9" t="n">
        <v>0</v>
      </c>
      <c r="F79" s="1"/>
      <c r="G79" s="21"/>
      <c r="H79" s="11" t="n">
        <f aca="false">E79*0.25</f>
        <v>0</v>
      </c>
      <c r="I79" s="1" t="s">
        <v>131</v>
      </c>
      <c r="J79" s="1" t="s">
        <v>145</v>
      </c>
      <c r="K79" s="1" t="s">
        <v>121</v>
      </c>
    </row>
    <row r="80" customFormat="false" ht="23" hidden="false" customHeight="true" outlineLevel="0" collapsed="false">
      <c r="A80" s="12" t="n">
        <v>46113</v>
      </c>
      <c r="B80" s="13" t="n">
        <v>2026</v>
      </c>
      <c r="C80" s="5" t="s">
        <v>117</v>
      </c>
      <c r="D80" s="5" t="s">
        <v>118</v>
      </c>
      <c r="E80" s="14" t="n">
        <v>429098</v>
      </c>
      <c r="F80" s="20" t="n">
        <f aca="false">E80/G80</f>
        <v>4166</v>
      </c>
      <c r="G80" s="14" t="n">
        <v>103</v>
      </c>
      <c r="H80" s="16" t="n">
        <f aca="false">E80*0.38</f>
        <v>163057.24</v>
      </c>
      <c r="I80" s="5" t="s">
        <v>119</v>
      </c>
      <c r="J80" s="5" t="s">
        <v>146</v>
      </c>
      <c r="K80" s="5" t="s">
        <v>121</v>
      </c>
    </row>
    <row r="81" customFormat="false" ht="23" hidden="false" customHeight="true" outlineLevel="0" collapsed="false">
      <c r="A81" s="7" t="n">
        <v>46113</v>
      </c>
      <c r="B81" s="8" t="n">
        <v>2026</v>
      </c>
      <c r="C81" s="1" t="s">
        <v>122</v>
      </c>
      <c r="D81" s="1" t="s">
        <v>123</v>
      </c>
      <c r="E81" s="9" t="n">
        <v>450000</v>
      </c>
      <c r="F81" s="19" t="n">
        <f aca="false">E81/G81</f>
        <v>11250</v>
      </c>
      <c r="G81" s="9" t="n">
        <v>40</v>
      </c>
      <c r="H81" s="11" t="n">
        <f aca="false">E81*0.2</f>
        <v>90000</v>
      </c>
      <c r="I81" s="1" t="s">
        <v>119</v>
      </c>
      <c r="J81" s="1" t="s">
        <v>146</v>
      </c>
      <c r="K81" s="1" t="s">
        <v>121</v>
      </c>
    </row>
    <row r="82" customFormat="false" ht="23" hidden="false" customHeight="true" outlineLevel="0" collapsed="false">
      <c r="A82" s="12" t="n">
        <v>46113</v>
      </c>
      <c r="B82" s="13" t="n">
        <v>2026</v>
      </c>
      <c r="C82" s="5" t="s">
        <v>124</v>
      </c>
      <c r="D82" s="5" t="s">
        <v>125</v>
      </c>
      <c r="E82" s="14" t="n">
        <v>35416.67</v>
      </c>
      <c r="F82" s="5"/>
      <c r="G82" s="22"/>
      <c r="H82" s="16" t="n">
        <f aca="false">E82*0.25</f>
        <v>8854.1675</v>
      </c>
      <c r="I82" s="5" t="s">
        <v>119</v>
      </c>
      <c r="J82" s="5" t="s">
        <v>146</v>
      </c>
      <c r="K82" s="5" t="s">
        <v>121</v>
      </c>
    </row>
    <row r="83" customFormat="false" ht="23" hidden="false" customHeight="true" outlineLevel="0" collapsed="false">
      <c r="A83" s="7" t="n">
        <v>46113</v>
      </c>
      <c r="B83" s="8" t="n">
        <v>2026</v>
      </c>
      <c r="C83" s="1" t="s">
        <v>126</v>
      </c>
      <c r="D83" s="1" t="s">
        <v>127</v>
      </c>
      <c r="E83" s="9" t="n">
        <v>41666.67</v>
      </c>
      <c r="F83" s="1"/>
      <c r="G83" s="21"/>
      <c r="H83" s="11" t="n">
        <f aca="false">E83*0.25</f>
        <v>10416.6675</v>
      </c>
      <c r="I83" s="1" t="s">
        <v>128</v>
      </c>
      <c r="J83" s="1" t="s">
        <v>146</v>
      </c>
      <c r="K83" s="1" t="s">
        <v>121</v>
      </c>
    </row>
    <row r="84" customFormat="false" ht="23" hidden="false" customHeight="true" outlineLevel="0" collapsed="false">
      <c r="A84" s="12" t="n">
        <v>46113</v>
      </c>
      <c r="B84" s="13" t="n">
        <v>2026</v>
      </c>
      <c r="C84" s="5" t="s">
        <v>129</v>
      </c>
      <c r="D84" s="5" t="s">
        <v>130</v>
      </c>
      <c r="E84" s="14" t="n">
        <v>0</v>
      </c>
      <c r="F84" s="5"/>
      <c r="G84" s="22"/>
      <c r="H84" s="16" t="n">
        <f aca="false">E84*0.25</f>
        <v>0</v>
      </c>
      <c r="I84" s="5" t="s">
        <v>131</v>
      </c>
      <c r="J84" s="5" t="s">
        <v>146</v>
      </c>
      <c r="K84" s="5" t="s">
        <v>121</v>
      </c>
    </row>
    <row r="85" customFormat="false" ht="23" hidden="false" customHeight="true" outlineLevel="0" collapsed="false">
      <c r="A85" s="7" t="n">
        <v>46143</v>
      </c>
      <c r="B85" s="8" t="n">
        <v>2026</v>
      </c>
      <c r="C85" s="1" t="s">
        <v>117</v>
      </c>
      <c r="D85" s="1" t="s">
        <v>118</v>
      </c>
      <c r="E85" s="9" t="n">
        <v>429098</v>
      </c>
      <c r="F85" s="19" t="n">
        <f aca="false">E85/G85</f>
        <v>4166</v>
      </c>
      <c r="G85" s="9" t="n">
        <v>103</v>
      </c>
      <c r="H85" s="11" t="n">
        <f aca="false">E85*0.38</f>
        <v>163057.24</v>
      </c>
      <c r="I85" s="1" t="s">
        <v>119</v>
      </c>
      <c r="J85" s="1" t="s">
        <v>147</v>
      </c>
      <c r="K85" s="1" t="s">
        <v>121</v>
      </c>
    </row>
    <row r="86" customFormat="false" ht="23" hidden="false" customHeight="true" outlineLevel="0" collapsed="false">
      <c r="A86" s="12" t="n">
        <v>46143</v>
      </c>
      <c r="B86" s="13" t="n">
        <v>2026</v>
      </c>
      <c r="C86" s="5" t="s">
        <v>122</v>
      </c>
      <c r="D86" s="5" t="s">
        <v>123</v>
      </c>
      <c r="E86" s="14" t="n">
        <v>450000</v>
      </c>
      <c r="F86" s="20" t="n">
        <f aca="false">E86/G86</f>
        <v>11250</v>
      </c>
      <c r="G86" s="14" t="n">
        <v>40</v>
      </c>
      <c r="H86" s="16" t="n">
        <f aca="false">E86*0.2</f>
        <v>90000</v>
      </c>
      <c r="I86" s="5" t="s">
        <v>119</v>
      </c>
      <c r="J86" s="5" t="s">
        <v>147</v>
      </c>
      <c r="K86" s="5" t="s">
        <v>121</v>
      </c>
    </row>
    <row r="87" customFormat="false" ht="23" hidden="false" customHeight="true" outlineLevel="0" collapsed="false">
      <c r="A87" s="7" t="n">
        <v>46143</v>
      </c>
      <c r="B87" s="8" t="n">
        <v>2026</v>
      </c>
      <c r="C87" s="1" t="s">
        <v>124</v>
      </c>
      <c r="D87" s="1" t="s">
        <v>125</v>
      </c>
      <c r="E87" s="9" t="n">
        <v>35416.67</v>
      </c>
      <c r="F87" s="1"/>
      <c r="G87" s="21"/>
      <c r="H87" s="11" t="n">
        <f aca="false">E87*0.25</f>
        <v>8854.1675</v>
      </c>
      <c r="I87" s="1" t="s">
        <v>119</v>
      </c>
      <c r="J87" s="1" t="s">
        <v>147</v>
      </c>
      <c r="K87" s="1" t="s">
        <v>121</v>
      </c>
    </row>
    <row r="88" customFormat="false" ht="23" hidden="false" customHeight="true" outlineLevel="0" collapsed="false">
      <c r="A88" s="12" t="n">
        <v>46143</v>
      </c>
      <c r="B88" s="13" t="n">
        <v>2026</v>
      </c>
      <c r="C88" s="5" t="s">
        <v>126</v>
      </c>
      <c r="D88" s="5" t="s">
        <v>127</v>
      </c>
      <c r="E88" s="14" t="n">
        <v>41666.67</v>
      </c>
      <c r="F88" s="5"/>
      <c r="G88" s="22"/>
      <c r="H88" s="16" t="n">
        <f aca="false">E88*0.25</f>
        <v>10416.6675</v>
      </c>
      <c r="I88" s="5" t="s">
        <v>128</v>
      </c>
      <c r="J88" s="5" t="s">
        <v>147</v>
      </c>
      <c r="K88" s="5" t="s">
        <v>121</v>
      </c>
    </row>
    <row r="89" customFormat="false" ht="23" hidden="false" customHeight="true" outlineLevel="0" collapsed="false">
      <c r="A89" s="7" t="n">
        <v>46143</v>
      </c>
      <c r="B89" s="8" t="n">
        <v>2026</v>
      </c>
      <c r="C89" s="1" t="s">
        <v>129</v>
      </c>
      <c r="D89" s="1" t="s">
        <v>130</v>
      </c>
      <c r="E89" s="9" t="n">
        <v>0</v>
      </c>
      <c r="F89" s="1"/>
      <c r="G89" s="21"/>
      <c r="H89" s="11" t="n">
        <f aca="false">E89*0.25</f>
        <v>0</v>
      </c>
      <c r="I89" s="1" t="s">
        <v>131</v>
      </c>
      <c r="J89" s="1" t="s">
        <v>147</v>
      </c>
      <c r="K89" s="1" t="s">
        <v>121</v>
      </c>
    </row>
    <row r="90" customFormat="false" ht="23" hidden="false" customHeight="true" outlineLevel="0" collapsed="false">
      <c r="A90" s="12" t="n">
        <v>46174</v>
      </c>
      <c r="B90" s="13" t="n">
        <v>2026</v>
      </c>
      <c r="C90" s="5" t="s">
        <v>117</v>
      </c>
      <c r="D90" s="5" t="s">
        <v>118</v>
      </c>
      <c r="E90" s="14" t="n">
        <v>429098</v>
      </c>
      <c r="F90" s="20" t="n">
        <f aca="false">E90/G90</f>
        <v>4166</v>
      </c>
      <c r="G90" s="14" t="n">
        <v>103</v>
      </c>
      <c r="H90" s="16" t="n">
        <f aca="false">E90*0.38</f>
        <v>163057.24</v>
      </c>
      <c r="I90" s="5" t="s">
        <v>119</v>
      </c>
      <c r="J90" s="5" t="s">
        <v>148</v>
      </c>
      <c r="K90" s="5" t="s">
        <v>121</v>
      </c>
    </row>
    <row r="91" customFormat="false" ht="23" hidden="false" customHeight="true" outlineLevel="0" collapsed="false">
      <c r="A91" s="7" t="n">
        <v>46174</v>
      </c>
      <c r="B91" s="8" t="n">
        <v>2026</v>
      </c>
      <c r="C91" s="1" t="s">
        <v>122</v>
      </c>
      <c r="D91" s="1" t="s">
        <v>123</v>
      </c>
      <c r="E91" s="9" t="n">
        <v>450000</v>
      </c>
      <c r="F91" s="19" t="n">
        <f aca="false">E91/G91</f>
        <v>11250</v>
      </c>
      <c r="G91" s="9" t="n">
        <v>40</v>
      </c>
      <c r="H91" s="11" t="n">
        <f aca="false">E91*0.2</f>
        <v>90000</v>
      </c>
      <c r="I91" s="1" t="s">
        <v>119</v>
      </c>
      <c r="J91" s="1" t="s">
        <v>148</v>
      </c>
      <c r="K91" s="1" t="s">
        <v>121</v>
      </c>
    </row>
    <row r="92" customFormat="false" ht="23" hidden="false" customHeight="true" outlineLevel="0" collapsed="false">
      <c r="A92" s="12" t="n">
        <v>46174</v>
      </c>
      <c r="B92" s="13" t="n">
        <v>2026</v>
      </c>
      <c r="C92" s="5" t="s">
        <v>124</v>
      </c>
      <c r="D92" s="5" t="s">
        <v>125</v>
      </c>
      <c r="E92" s="14" t="n">
        <v>35416.67</v>
      </c>
      <c r="F92" s="5"/>
      <c r="G92" s="22"/>
      <c r="H92" s="16" t="n">
        <f aca="false">E92*0.25</f>
        <v>8854.1675</v>
      </c>
      <c r="I92" s="5" t="s">
        <v>119</v>
      </c>
      <c r="J92" s="5" t="s">
        <v>148</v>
      </c>
      <c r="K92" s="5" t="s">
        <v>121</v>
      </c>
    </row>
    <row r="93" customFormat="false" ht="23" hidden="false" customHeight="true" outlineLevel="0" collapsed="false">
      <c r="A93" s="7" t="n">
        <v>46174</v>
      </c>
      <c r="B93" s="8" t="n">
        <v>2026</v>
      </c>
      <c r="C93" s="1" t="s">
        <v>126</v>
      </c>
      <c r="D93" s="1" t="s">
        <v>127</v>
      </c>
      <c r="E93" s="9" t="n">
        <v>41666.67</v>
      </c>
      <c r="F93" s="1"/>
      <c r="G93" s="21"/>
      <c r="H93" s="11" t="n">
        <f aca="false">E93*0.25</f>
        <v>10416.6675</v>
      </c>
      <c r="I93" s="1" t="s">
        <v>128</v>
      </c>
      <c r="J93" s="1" t="s">
        <v>148</v>
      </c>
      <c r="K93" s="1" t="s">
        <v>121</v>
      </c>
    </row>
    <row r="94" customFormat="false" ht="23" hidden="false" customHeight="true" outlineLevel="0" collapsed="false">
      <c r="A94" s="12" t="n">
        <v>46174</v>
      </c>
      <c r="B94" s="13" t="n">
        <v>2026</v>
      </c>
      <c r="C94" s="5" t="s">
        <v>129</v>
      </c>
      <c r="D94" s="5" t="s">
        <v>130</v>
      </c>
      <c r="E94" s="14" t="n">
        <v>0</v>
      </c>
      <c r="F94" s="5"/>
      <c r="G94" s="22"/>
      <c r="H94" s="16" t="n">
        <f aca="false">E94*0.25</f>
        <v>0</v>
      </c>
      <c r="I94" s="5" t="s">
        <v>131</v>
      </c>
      <c r="J94" s="5" t="s">
        <v>148</v>
      </c>
      <c r="K94" s="5" t="s">
        <v>121</v>
      </c>
    </row>
    <row r="95" customFormat="false" ht="23" hidden="false" customHeight="true" outlineLevel="0" collapsed="false">
      <c r="A95" s="7" t="n">
        <v>46204</v>
      </c>
      <c r="B95" s="8" t="n">
        <v>2026</v>
      </c>
      <c r="C95" s="1" t="s">
        <v>117</v>
      </c>
      <c r="D95" s="1" t="s">
        <v>118</v>
      </c>
      <c r="E95" s="9" t="n">
        <v>429098</v>
      </c>
      <c r="F95" s="19" t="n">
        <f aca="false">E95/G95</f>
        <v>4166</v>
      </c>
      <c r="G95" s="9" t="n">
        <v>103</v>
      </c>
      <c r="H95" s="11" t="n">
        <f aca="false">E95*0.38</f>
        <v>163057.24</v>
      </c>
      <c r="I95" s="1" t="s">
        <v>119</v>
      </c>
      <c r="J95" s="1" t="s">
        <v>149</v>
      </c>
      <c r="K95" s="1" t="s">
        <v>121</v>
      </c>
    </row>
    <row r="96" customFormat="false" ht="23" hidden="false" customHeight="true" outlineLevel="0" collapsed="false">
      <c r="A96" s="12" t="n">
        <v>46204</v>
      </c>
      <c r="B96" s="13" t="n">
        <v>2026</v>
      </c>
      <c r="C96" s="5" t="s">
        <v>122</v>
      </c>
      <c r="D96" s="5" t="s">
        <v>123</v>
      </c>
      <c r="E96" s="14" t="n">
        <v>450000</v>
      </c>
      <c r="F96" s="20" t="n">
        <f aca="false">E96/G96</f>
        <v>11250</v>
      </c>
      <c r="G96" s="14" t="n">
        <v>40</v>
      </c>
      <c r="H96" s="16" t="n">
        <f aca="false">E96*0.2</f>
        <v>90000</v>
      </c>
      <c r="I96" s="5" t="s">
        <v>119</v>
      </c>
      <c r="J96" s="5" t="s">
        <v>149</v>
      </c>
      <c r="K96" s="5" t="s">
        <v>121</v>
      </c>
    </row>
    <row r="97" customFormat="false" ht="23" hidden="false" customHeight="true" outlineLevel="0" collapsed="false">
      <c r="A97" s="7" t="n">
        <v>46204</v>
      </c>
      <c r="B97" s="8" t="n">
        <v>2026</v>
      </c>
      <c r="C97" s="1" t="s">
        <v>124</v>
      </c>
      <c r="D97" s="1" t="s">
        <v>125</v>
      </c>
      <c r="E97" s="9" t="n">
        <v>35416.67</v>
      </c>
      <c r="F97" s="1"/>
      <c r="G97" s="21"/>
      <c r="H97" s="11" t="n">
        <f aca="false">E97*0.25</f>
        <v>8854.1675</v>
      </c>
      <c r="I97" s="1" t="s">
        <v>119</v>
      </c>
      <c r="J97" s="1" t="s">
        <v>149</v>
      </c>
      <c r="K97" s="1" t="s">
        <v>121</v>
      </c>
    </row>
    <row r="98" customFormat="false" ht="23" hidden="false" customHeight="true" outlineLevel="0" collapsed="false">
      <c r="A98" s="12" t="n">
        <v>46204</v>
      </c>
      <c r="B98" s="13" t="n">
        <v>2026</v>
      </c>
      <c r="C98" s="5" t="s">
        <v>126</v>
      </c>
      <c r="D98" s="5" t="s">
        <v>127</v>
      </c>
      <c r="E98" s="14" t="n">
        <v>41666.67</v>
      </c>
      <c r="F98" s="5"/>
      <c r="G98" s="22"/>
      <c r="H98" s="16" t="n">
        <f aca="false">E98*0.25</f>
        <v>10416.6675</v>
      </c>
      <c r="I98" s="5" t="s">
        <v>128</v>
      </c>
      <c r="J98" s="5" t="s">
        <v>149</v>
      </c>
      <c r="K98" s="5" t="s">
        <v>121</v>
      </c>
    </row>
    <row r="99" customFormat="false" ht="23" hidden="false" customHeight="true" outlineLevel="0" collapsed="false">
      <c r="A99" s="7" t="n">
        <v>46204</v>
      </c>
      <c r="B99" s="8" t="n">
        <v>2026</v>
      </c>
      <c r="C99" s="1" t="s">
        <v>129</v>
      </c>
      <c r="D99" s="1" t="s">
        <v>130</v>
      </c>
      <c r="E99" s="9" t="n">
        <v>0</v>
      </c>
      <c r="F99" s="1"/>
      <c r="G99" s="21"/>
      <c r="H99" s="11" t="n">
        <f aca="false">E99*0.25</f>
        <v>0</v>
      </c>
      <c r="I99" s="1" t="s">
        <v>131</v>
      </c>
      <c r="J99" s="1" t="s">
        <v>149</v>
      </c>
      <c r="K99" s="1" t="s">
        <v>121</v>
      </c>
    </row>
    <row r="100" customFormat="false" ht="23" hidden="false" customHeight="true" outlineLevel="0" collapsed="false">
      <c r="A100" s="12" t="n">
        <v>46235</v>
      </c>
      <c r="B100" s="13" t="n">
        <v>2026</v>
      </c>
      <c r="C100" s="5" t="s">
        <v>117</v>
      </c>
      <c r="D100" s="5" t="s">
        <v>118</v>
      </c>
      <c r="E100" s="14" t="n">
        <v>429098</v>
      </c>
      <c r="F100" s="20" t="n">
        <f aca="false">E100/G100</f>
        <v>4166</v>
      </c>
      <c r="G100" s="14" t="n">
        <v>103</v>
      </c>
      <c r="H100" s="16" t="n">
        <f aca="false">E100*0.38</f>
        <v>163057.24</v>
      </c>
      <c r="I100" s="5" t="s">
        <v>119</v>
      </c>
      <c r="J100" s="5" t="s">
        <v>150</v>
      </c>
      <c r="K100" s="5" t="s">
        <v>121</v>
      </c>
    </row>
    <row r="101" customFormat="false" ht="23" hidden="false" customHeight="true" outlineLevel="0" collapsed="false">
      <c r="A101" s="7" t="n">
        <v>46235</v>
      </c>
      <c r="B101" s="8" t="n">
        <v>2026</v>
      </c>
      <c r="C101" s="1" t="s">
        <v>122</v>
      </c>
      <c r="D101" s="1" t="s">
        <v>123</v>
      </c>
      <c r="E101" s="9" t="n">
        <v>450000</v>
      </c>
      <c r="F101" s="19" t="n">
        <f aca="false">E101/G101</f>
        <v>11250</v>
      </c>
      <c r="G101" s="9" t="n">
        <v>40</v>
      </c>
      <c r="H101" s="11" t="n">
        <f aca="false">E101*0.2</f>
        <v>90000</v>
      </c>
      <c r="I101" s="1" t="s">
        <v>119</v>
      </c>
      <c r="J101" s="1" t="s">
        <v>150</v>
      </c>
      <c r="K101" s="1" t="s">
        <v>121</v>
      </c>
    </row>
    <row r="102" customFormat="false" ht="23" hidden="false" customHeight="true" outlineLevel="0" collapsed="false">
      <c r="A102" s="12" t="n">
        <v>46235</v>
      </c>
      <c r="B102" s="13" t="n">
        <v>2026</v>
      </c>
      <c r="C102" s="5" t="s">
        <v>124</v>
      </c>
      <c r="D102" s="5" t="s">
        <v>125</v>
      </c>
      <c r="E102" s="14" t="n">
        <v>35416.67</v>
      </c>
      <c r="F102" s="5"/>
      <c r="G102" s="22"/>
      <c r="H102" s="16" t="n">
        <f aca="false">E102*0.25</f>
        <v>8854.1675</v>
      </c>
      <c r="I102" s="5" t="s">
        <v>119</v>
      </c>
      <c r="J102" s="5" t="s">
        <v>150</v>
      </c>
      <c r="K102" s="5" t="s">
        <v>121</v>
      </c>
    </row>
    <row r="103" customFormat="false" ht="23" hidden="false" customHeight="true" outlineLevel="0" collapsed="false">
      <c r="A103" s="7" t="n">
        <v>46235</v>
      </c>
      <c r="B103" s="8" t="n">
        <v>2026</v>
      </c>
      <c r="C103" s="1" t="s">
        <v>126</v>
      </c>
      <c r="D103" s="1" t="s">
        <v>127</v>
      </c>
      <c r="E103" s="9" t="n">
        <v>41666.67</v>
      </c>
      <c r="F103" s="1"/>
      <c r="G103" s="21"/>
      <c r="H103" s="11" t="n">
        <f aca="false">E103*0.25</f>
        <v>10416.6675</v>
      </c>
      <c r="I103" s="1" t="s">
        <v>128</v>
      </c>
      <c r="J103" s="1" t="s">
        <v>150</v>
      </c>
      <c r="K103" s="1" t="s">
        <v>121</v>
      </c>
    </row>
    <row r="104" customFormat="false" ht="23" hidden="false" customHeight="true" outlineLevel="0" collapsed="false">
      <c r="A104" s="12" t="n">
        <v>46235</v>
      </c>
      <c r="B104" s="13" t="n">
        <v>2026</v>
      </c>
      <c r="C104" s="5" t="s">
        <v>129</v>
      </c>
      <c r="D104" s="5" t="s">
        <v>130</v>
      </c>
      <c r="E104" s="14" t="n">
        <v>0</v>
      </c>
      <c r="F104" s="5"/>
      <c r="G104" s="22"/>
      <c r="H104" s="16" t="n">
        <f aca="false">E104*0.25</f>
        <v>0</v>
      </c>
      <c r="I104" s="5" t="s">
        <v>131</v>
      </c>
      <c r="J104" s="5" t="s">
        <v>150</v>
      </c>
      <c r="K104" s="5" t="s">
        <v>121</v>
      </c>
    </row>
    <row r="105" customFormat="false" ht="23" hidden="false" customHeight="true" outlineLevel="0" collapsed="false">
      <c r="A105" s="7" t="n">
        <v>46266</v>
      </c>
      <c r="B105" s="8" t="n">
        <v>2026</v>
      </c>
      <c r="C105" s="1" t="s">
        <v>117</v>
      </c>
      <c r="D105" s="1" t="s">
        <v>118</v>
      </c>
      <c r="E105" s="9" t="n">
        <v>429098</v>
      </c>
      <c r="F105" s="19" t="n">
        <f aca="false">E105/G105</f>
        <v>4166</v>
      </c>
      <c r="G105" s="9" t="n">
        <v>103</v>
      </c>
      <c r="H105" s="11" t="n">
        <f aca="false">E105*0.38</f>
        <v>163057.24</v>
      </c>
      <c r="I105" s="1" t="s">
        <v>119</v>
      </c>
      <c r="J105" s="1" t="s">
        <v>151</v>
      </c>
      <c r="K105" s="1" t="s">
        <v>121</v>
      </c>
    </row>
    <row r="106" customFormat="false" ht="23" hidden="false" customHeight="true" outlineLevel="0" collapsed="false">
      <c r="A106" s="12" t="n">
        <v>46266</v>
      </c>
      <c r="B106" s="13" t="n">
        <v>2026</v>
      </c>
      <c r="C106" s="5" t="s">
        <v>122</v>
      </c>
      <c r="D106" s="5" t="s">
        <v>123</v>
      </c>
      <c r="E106" s="14" t="n">
        <v>450000</v>
      </c>
      <c r="F106" s="20" t="n">
        <f aca="false">E106/G106</f>
        <v>11250</v>
      </c>
      <c r="G106" s="14" t="n">
        <v>40</v>
      </c>
      <c r="H106" s="16" t="n">
        <f aca="false">E106*0.2</f>
        <v>90000</v>
      </c>
      <c r="I106" s="5" t="s">
        <v>119</v>
      </c>
      <c r="J106" s="5" t="s">
        <v>151</v>
      </c>
      <c r="K106" s="5" t="s">
        <v>121</v>
      </c>
    </row>
    <row r="107" customFormat="false" ht="23" hidden="false" customHeight="true" outlineLevel="0" collapsed="false">
      <c r="A107" s="7" t="n">
        <v>46266</v>
      </c>
      <c r="B107" s="8" t="n">
        <v>2026</v>
      </c>
      <c r="C107" s="1" t="s">
        <v>124</v>
      </c>
      <c r="D107" s="1" t="s">
        <v>125</v>
      </c>
      <c r="E107" s="9" t="n">
        <v>35416.67</v>
      </c>
      <c r="F107" s="1"/>
      <c r="G107" s="21"/>
      <c r="H107" s="11" t="n">
        <f aca="false">E107*0.25</f>
        <v>8854.1675</v>
      </c>
      <c r="I107" s="1" t="s">
        <v>119</v>
      </c>
      <c r="J107" s="1" t="s">
        <v>151</v>
      </c>
      <c r="K107" s="1" t="s">
        <v>121</v>
      </c>
    </row>
    <row r="108" customFormat="false" ht="23" hidden="false" customHeight="true" outlineLevel="0" collapsed="false">
      <c r="A108" s="12" t="n">
        <v>46266</v>
      </c>
      <c r="B108" s="13" t="n">
        <v>2026</v>
      </c>
      <c r="C108" s="5" t="s">
        <v>126</v>
      </c>
      <c r="D108" s="5" t="s">
        <v>127</v>
      </c>
      <c r="E108" s="14" t="n">
        <v>41666.67</v>
      </c>
      <c r="F108" s="5"/>
      <c r="G108" s="22"/>
      <c r="H108" s="16" t="n">
        <f aca="false">E108*0.25</f>
        <v>10416.6675</v>
      </c>
      <c r="I108" s="5" t="s">
        <v>128</v>
      </c>
      <c r="J108" s="5" t="s">
        <v>151</v>
      </c>
      <c r="K108" s="5" t="s">
        <v>121</v>
      </c>
    </row>
    <row r="109" customFormat="false" ht="23" hidden="false" customHeight="true" outlineLevel="0" collapsed="false">
      <c r="A109" s="7" t="n">
        <v>46266</v>
      </c>
      <c r="B109" s="8" t="n">
        <v>2026</v>
      </c>
      <c r="C109" s="1" t="s">
        <v>129</v>
      </c>
      <c r="D109" s="1" t="s">
        <v>130</v>
      </c>
      <c r="E109" s="9" t="n">
        <v>0</v>
      </c>
      <c r="F109" s="1"/>
      <c r="G109" s="21"/>
      <c r="H109" s="11" t="n">
        <f aca="false">E109*0.25</f>
        <v>0</v>
      </c>
      <c r="I109" s="1" t="s">
        <v>131</v>
      </c>
      <c r="J109" s="1" t="s">
        <v>151</v>
      </c>
      <c r="K109" s="1" t="s">
        <v>121</v>
      </c>
    </row>
    <row r="110" customFormat="false" ht="23" hidden="false" customHeight="true" outlineLevel="0" collapsed="false">
      <c r="A110" s="12" t="n">
        <v>46296</v>
      </c>
      <c r="B110" s="13" t="n">
        <v>2026</v>
      </c>
      <c r="C110" s="5" t="s">
        <v>117</v>
      </c>
      <c r="D110" s="5" t="s">
        <v>118</v>
      </c>
      <c r="E110" s="14" t="n">
        <v>429098</v>
      </c>
      <c r="F110" s="20" t="n">
        <f aca="false">E110/G110</f>
        <v>4166</v>
      </c>
      <c r="G110" s="14" t="n">
        <v>103</v>
      </c>
      <c r="H110" s="16" t="n">
        <f aca="false">E110*0.38</f>
        <v>163057.24</v>
      </c>
      <c r="I110" s="5" t="s">
        <v>119</v>
      </c>
      <c r="J110" s="5" t="s">
        <v>152</v>
      </c>
      <c r="K110" s="5" t="s">
        <v>121</v>
      </c>
    </row>
    <row r="111" customFormat="false" ht="23" hidden="false" customHeight="true" outlineLevel="0" collapsed="false">
      <c r="A111" s="7" t="n">
        <v>46296</v>
      </c>
      <c r="B111" s="8" t="n">
        <v>2026</v>
      </c>
      <c r="C111" s="1" t="s">
        <v>122</v>
      </c>
      <c r="D111" s="1" t="s">
        <v>123</v>
      </c>
      <c r="E111" s="9" t="n">
        <v>450000</v>
      </c>
      <c r="F111" s="19" t="n">
        <f aca="false">E111/G111</f>
        <v>11250</v>
      </c>
      <c r="G111" s="9" t="n">
        <v>40</v>
      </c>
      <c r="H111" s="11" t="n">
        <f aca="false">E111*0.2</f>
        <v>90000</v>
      </c>
      <c r="I111" s="1" t="s">
        <v>119</v>
      </c>
      <c r="J111" s="1" t="s">
        <v>152</v>
      </c>
      <c r="K111" s="1" t="s">
        <v>121</v>
      </c>
    </row>
    <row r="112" customFormat="false" ht="23" hidden="false" customHeight="true" outlineLevel="0" collapsed="false">
      <c r="A112" s="12" t="n">
        <v>46296</v>
      </c>
      <c r="B112" s="13" t="n">
        <v>2026</v>
      </c>
      <c r="C112" s="5" t="s">
        <v>124</v>
      </c>
      <c r="D112" s="5" t="s">
        <v>125</v>
      </c>
      <c r="E112" s="14" t="n">
        <v>35416.67</v>
      </c>
      <c r="F112" s="5"/>
      <c r="G112" s="22"/>
      <c r="H112" s="16" t="n">
        <f aca="false">E112*0.25</f>
        <v>8854.1675</v>
      </c>
      <c r="I112" s="5" t="s">
        <v>119</v>
      </c>
      <c r="J112" s="5" t="s">
        <v>152</v>
      </c>
      <c r="K112" s="5" t="s">
        <v>121</v>
      </c>
    </row>
    <row r="113" customFormat="false" ht="23" hidden="false" customHeight="true" outlineLevel="0" collapsed="false">
      <c r="A113" s="7" t="n">
        <v>46296</v>
      </c>
      <c r="B113" s="8" t="n">
        <v>2026</v>
      </c>
      <c r="C113" s="1" t="s">
        <v>126</v>
      </c>
      <c r="D113" s="1" t="s">
        <v>127</v>
      </c>
      <c r="E113" s="9" t="n">
        <v>41666.67</v>
      </c>
      <c r="F113" s="1"/>
      <c r="G113" s="21"/>
      <c r="H113" s="11" t="n">
        <f aca="false">E113*0.25</f>
        <v>10416.6675</v>
      </c>
      <c r="I113" s="1" t="s">
        <v>128</v>
      </c>
      <c r="J113" s="1" t="s">
        <v>152</v>
      </c>
      <c r="K113" s="1" t="s">
        <v>121</v>
      </c>
    </row>
    <row r="114" customFormat="false" ht="23" hidden="false" customHeight="true" outlineLevel="0" collapsed="false">
      <c r="A114" s="12" t="n">
        <v>46296</v>
      </c>
      <c r="B114" s="13" t="n">
        <v>2026</v>
      </c>
      <c r="C114" s="5" t="s">
        <v>129</v>
      </c>
      <c r="D114" s="5" t="s">
        <v>130</v>
      </c>
      <c r="E114" s="14" t="n">
        <v>0</v>
      </c>
      <c r="F114" s="5"/>
      <c r="G114" s="22"/>
      <c r="H114" s="16" t="n">
        <f aca="false">E114*0.25</f>
        <v>0</v>
      </c>
      <c r="I114" s="5" t="s">
        <v>131</v>
      </c>
      <c r="J114" s="5" t="s">
        <v>152</v>
      </c>
      <c r="K114" s="5" t="s">
        <v>121</v>
      </c>
    </row>
    <row r="115" customFormat="false" ht="23" hidden="false" customHeight="true" outlineLevel="0" collapsed="false">
      <c r="A115" s="7" t="n">
        <v>46327</v>
      </c>
      <c r="B115" s="8" t="n">
        <v>2026</v>
      </c>
      <c r="C115" s="1" t="s">
        <v>117</v>
      </c>
      <c r="D115" s="1" t="s">
        <v>118</v>
      </c>
      <c r="E115" s="9" t="n">
        <v>429098</v>
      </c>
      <c r="F115" s="19" t="n">
        <f aca="false">E115/G115</f>
        <v>4166</v>
      </c>
      <c r="G115" s="9" t="n">
        <v>103</v>
      </c>
      <c r="H115" s="11" t="n">
        <f aca="false">E115*0.38</f>
        <v>163057.24</v>
      </c>
      <c r="I115" s="1" t="s">
        <v>119</v>
      </c>
      <c r="J115" s="1" t="s">
        <v>153</v>
      </c>
      <c r="K115" s="1" t="s">
        <v>121</v>
      </c>
    </row>
    <row r="116" customFormat="false" ht="23" hidden="false" customHeight="true" outlineLevel="0" collapsed="false">
      <c r="A116" s="12" t="n">
        <v>46327</v>
      </c>
      <c r="B116" s="13" t="n">
        <v>2026</v>
      </c>
      <c r="C116" s="5" t="s">
        <v>122</v>
      </c>
      <c r="D116" s="5" t="s">
        <v>123</v>
      </c>
      <c r="E116" s="14" t="n">
        <v>450000</v>
      </c>
      <c r="F116" s="20" t="n">
        <f aca="false">E116/G116</f>
        <v>11250</v>
      </c>
      <c r="G116" s="14" t="n">
        <v>40</v>
      </c>
      <c r="H116" s="16" t="n">
        <f aca="false">E116*0.2</f>
        <v>90000</v>
      </c>
      <c r="I116" s="5" t="s">
        <v>119</v>
      </c>
      <c r="J116" s="5" t="s">
        <v>153</v>
      </c>
      <c r="K116" s="5" t="s">
        <v>121</v>
      </c>
    </row>
    <row r="117" customFormat="false" ht="23" hidden="false" customHeight="true" outlineLevel="0" collapsed="false">
      <c r="A117" s="7" t="n">
        <v>46327</v>
      </c>
      <c r="B117" s="8" t="n">
        <v>2026</v>
      </c>
      <c r="C117" s="1" t="s">
        <v>124</v>
      </c>
      <c r="D117" s="1" t="s">
        <v>125</v>
      </c>
      <c r="E117" s="9" t="n">
        <v>35416.67</v>
      </c>
      <c r="F117" s="1"/>
      <c r="G117" s="21"/>
      <c r="H117" s="11" t="n">
        <f aca="false">E117*0.25</f>
        <v>8854.1675</v>
      </c>
      <c r="I117" s="1" t="s">
        <v>119</v>
      </c>
      <c r="J117" s="1" t="s">
        <v>153</v>
      </c>
      <c r="K117" s="1" t="s">
        <v>121</v>
      </c>
    </row>
    <row r="118" customFormat="false" ht="23" hidden="false" customHeight="true" outlineLevel="0" collapsed="false">
      <c r="A118" s="12" t="n">
        <v>46327</v>
      </c>
      <c r="B118" s="13" t="n">
        <v>2026</v>
      </c>
      <c r="C118" s="5" t="s">
        <v>126</v>
      </c>
      <c r="D118" s="5" t="s">
        <v>127</v>
      </c>
      <c r="E118" s="14" t="n">
        <v>41666.67</v>
      </c>
      <c r="F118" s="5"/>
      <c r="G118" s="22"/>
      <c r="H118" s="16" t="n">
        <f aca="false">E118*0.25</f>
        <v>10416.6675</v>
      </c>
      <c r="I118" s="5" t="s">
        <v>128</v>
      </c>
      <c r="J118" s="5" t="s">
        <v>153</v>
      </c>
      <c r="K118" s="5" t="s">
        <v>121</v>
      </c>
    </row>
    <row r="119" customFormat="false" ht="23" hidden="false" customHeight="true" outlineLevel="0" collapsed="false">
      <c r="A119" s="7" t="n">
        <v>46327</v>
      </c>
      <c r="B119" s="8" t="n">
        <v>2026</v>
      </c>
      <c r="C119" s="1" t="s">
        <v>129</v>
      </c>
      <c r="D119" s="1" t="s">
        <v>130</v>
      </c>
      <c r="E119" s="9" t="n">
        <v>0</v>
      </c>
      <c r="F119" s="1"/>
      <c r="G119" s="21"/>
      <c r="H119" s="11" t="n">
        <f aca="false">E119*0.25</f>
        <v>0</v>
      </c>
      <c r="I119" s="1" t="s">
        <v>131</v>
      </c>
      <c r="J119" s="1" t="s">
        <v>153</v>
      </c>
      <c r="K119" s="1" t="s">
        <v>121</v>
      </c>
    </row>
    <row r="120" customFormat="false" ht="23" hidden="false" customHeight="true" outlineLevel="0" collapsed="false">
      <c r="A120" s="12" t="n">
        <v>46357</v>
      </c>
      <c r="B120" s="13" t="n">
        <v>2026</v>
      </c>
      <c r="C120" s="5" t="s">
        <v>117</v>
      </c>
      <c r="D120" s="5" t="s">
        <v>118</v>
      </c>
      <c r="E120" s="14" t="n">
        <v>429922</v>
      </c>
      <c r="F120" s="20" t="n">
        <f aca="false">E120/G120</f>
        <v>4174</v>
      </c>
      <c r="G120" s="14" t="n">
        <v>103</v>
      </c>
      <c r="H120" s="16" t="n">
        <f aca="false">E120*0.38</f>
        <v>163370.36</v>
      </c>
      <c r="I120" s="5" t="s">
        <v>119</v>
      </c>
      <c r="J120" s="5" t="s">
        <v>154</v>
      </c>
      <c r="K120" s="5" t="s">
        <v>121</v>
      </c>
    </row>
    <row r="121" customFormat="false" ht="23" hidden="false" customHeight="true" outlineLevel="0" collapsed="false">
      <c r="A121" s="7" t="n">
        <v>46357</v>
      </c>
      <c r="B121" s="8" t="n">
        <v>2026</v>
      </c>
      <c r="C121" s="1" t="s">
        <v>122</v>
      </c>
      <c r="D121" s="1" t="s">
        <v>123</v>
      </c>
      <c r="E121" s="9" t="n">
        <v>450000</v>
      </c>
      <c r="F121" s="19" t="n">
        <f aca="false">E121/G121</f>
        <v>11250</v>
      </c>
      <c r="G121" s="9" t="n">
        <v>40</v>
      </c>
      <c r="H121" s="11" t="n">
        <f aca="false">E121*0.2</f>
        <v>90000</v>
      </c>
      <c r="I121" s="1" t="s">
        <v>119</v>
      </c>
      <c r="J121" s="1" t="s">
        <v>154</v>
      </c>
      <c r="K121" s="1" t="s">
        <v>121</v>
      </c>
    </row>
    <row r="122" customFormat="false" ht="23" hidden="false" customHeight="true" outlineLevel="0" collapsed="false">
      <c r="A122" s="12" t="n">
        <v>46357</v>
      </c>
      <c r="B122" s="13" t="n">
        <v>2026</v>
      </c>
      <c r="C122" s="5" t="s">
        <v>124</v>
      </c>
      <c r="D122" s="5" t="s">
        <v>125</v>
      </c>
      <c r="E122" s="14" t="n">
        <v>35416.63</v>
      </c>
      <c r="F122" s="5"/>
      <c r="G122" s="22"/>
      <c r="H122" s="16" t="n">
        <f aca="false">E122*0.25</f>
        <v>8854.1575</v>
      </c>
      <c r="I122" s="5" t="s">
        <v>119</v>
      </c>
      <c r="J122" s="5" t="s">
        <v>154</v>
      </c>
      <c r="K122" s="5" t="s">
        <v>121</v>
      </c>
    </row>
    <row r="123" customFormat="false" ht="23" hidden="false" customHeight="true" outlineLevel="0" collapsed="false">
      <c r="A123" s="7" t="n">
        <v>46357</v>
      </c>
      <c r="B123" s="8" t="n">
        <v>2026</v>
      </c>
      <c r="C123" s="1" t="s">
        <v>126</v>
      </c>
      <c r="D123" s="1" t="s">
        <v>127</v>
      </c>
      <c r="E123" s="9" t="n">
        <v>41666.63</v>
      </c>
      <c r="F123" s="1"/>
      <c r="G123" s="21"/>
      <c r="H123" s="11" t="n">
        <f aca="false">E123*0.25</f>
        <v>10416.6575</v>
      </c>
      <c r="I123" s="1" t="s">
        <v>128</v>
      </c>
      <c r="J123" s="1" t="s">
        <v>154</v>
      </c>
      <c r="K123" s="1" t="s">
        <v>121</v>
      </c>
    </row>
    <row r="124" customFormat="false" ht="23" hidden="false" customHeight="true" outlineLevel="0" collapsed="false">
      <c r="A124" s="12" t="n">
        <v>46357</v>
      </c>
      <c r="B124" s="13" t="n">
        <v>2026</v>
      </c>
      <c r="C124" s="5" t="s">
        <v>129</v>
      </c>
      <c r="D124" s="5" t="s">
        <v>130</v>
      </c>
      <c r="E124" s="14" t="n">
        <v>0</v>
      </c>
      <c r="F124" s="5"/>
      <c r="G124" s="22"/>
      <c r="H124" s="16" t="n">
        <f aca="false">E124*0.25</f>
        <v>0</v>
      </c>
      <c r="I124" s="5" t="s">
        <v>131</v>
      </c>
      <c r="J124" s="5" t="s">
        <v>154</v>
      </c>
      <c r="K124" s="5" t="s">
        <v>121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.02"/>
    <col collapsed="false" customWidth="true" hidden="false" outlineLevel="0" max="3" min="3" style="0" width="16"/>
    <col collapsed="false" customWidth="true" hidden="false" outlineLevel="0" max="4" min="4" style="0" width="11.99"/>
    <col collapsed="false" customWidth="true" hidden="false" outlineLevel="0" max="5" min="5" style="0" width="19.99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64.02"/>
    <col collapsed="false" customWidth="true" hidden="false" outlineLevel="0" max="1025" min="11" style="0" width="8.45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3" hidden="false" customHeight="true" outlineLevel="0" collapsed="false">
      <c r="A2" s="2" t="s">
        <v>155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2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32" hidden="false" customHeight="true" outlineLevel="0" collapsed="false">
      <c r="A4" s="3" t="s">
        <v>156</v>
      </c>
      <c r="B4" s="3" t="s">
        <v>28</v>
      </c>
      <c r="C4" s="3" t="s">
        <v>157</v>
      </c>
      <c r="D4" s="3" t="s">
        <v>43</v>
      </c>
      <c r="E4" s="3" t="s">
        <v>158</v>
      </c>
      <c r="F4" s="3" t="s">
        <v>159</v>
      </c>
      <c r="G4" s="3" t="s">
        <v>160</v>
      </c>
      <c r="H4" s="3" t="s">
        <v>161</v>
      </c>
      <c r="I4" s="3" t="s">
        <v>44</v>
      </c>
      <c r="J4" s="3" t="s">
        <v>162</v>
      </c>
    </row>
    <row r="5" customFormat="false" ht="23" hidden="false" customHeight="true" outlineLevel="0" collapsed="false">
      <c r="A5" s="1" t="s">
        <v>163</v>
      </c>
      <c r="B5" s="7" t="n">
        <v>45658</v>
      </c>
      <c r="C5" s="1" t="s">
        <v>30</v>
      </c>
      <c r="D5" s="1" t="n">
        <v>1</v>
      </c>
      <c r="E5" s="9" t="n">
        <v>900000</v>
      </c>
      <c r="F5" s="1" t="s">
        <v>164</v>
      </c>
      <c r="G5" s="1"/>
      <c r="H5" s="23" t="n">
        <v>45698</v>
      </c>
      <c r="I5" s="1" t="s">
        <v>46</v>
      </c>
      <c r="J5" s="1" t="s">
        <v>165</v>
      </c>
    </row>
    <row r="6" customFormat="false" ht="23" hidden="false" customHeight="true" outlineLevel="0" collapsed="false">
      <c r="A6" s="5" t="s">
        <v>166</v>
      </c>
      <c r="B6" s="12" t="n">
        <v>45689</v>
      </c>
      <c r="C6" s="5" t="s">
        <v>30</v>
      </c>
      <c r="D6" s="5" t="n">
        <v>1</v>
      </c>
      <c r="E6" s="14" t="n">
        <v>936000</v>
      </c>
      <c r="F6" s="5" t="s">
        <v>164</v>
      </c>
      <c r="G6" s="5"/>
      <c r="H6" s="24" t="n">
        <v>45726</v>
      </c>
      <c r="I6" s="5" t="s">
        <v>46</v>
      </c>
      <c r="J6" s="5" t="s">
        <v>165</v>
      </c>
    </row>
    <row r="7" customFormat="false" ht="23" hidden="false" customHeight="true" outlineLevel="0" collapsed="false">
      <c r="A7" s="1" t="s">
        <v>167</v>
      </c>
      <c r="B7" s="7" t="n">
        <v>45717</v>
      </c>
      <c r="C7" s="1" t="s">
        <v>30</v>
      </c>
      <c r="D7" s="1" t="n">
        <v>1</v>
      </c>
      <c r="E7" s="9" t="n">
        <v>972000</v>
      </c>
      <c r="F7" s="1" t="s">
        <v>164</v>
      </c>
      <c r="G7" s="1"/>
      <c r="H7" s="23" t="n">
        <v>45757</v>
      </c>
      <c r="I7" s="1" t="s">
        <v>46</v>
      </c>
      <c r="J7" s="1" t="s">
        <v>165</v>
      </c>
    </row>
    <row r="8" customFormat="false" ht="23" hidden="false" customHeight="true" outlineLevel="0" collapsed="false">
      <c r="A8" s="5" t="s">
        <v>168</v>
      </c>
      <c r="B8" s="12" t="n">
        <v>45748</v>
      </c>
      <c r="C8" s="5" t="s">
        <v>30</v>
      </c>
      <c r="D8" s="5" t="n">
        <v>1</v>
      </c>
      <c r="E8" s="14" t="n">
        <v>948000</v>
      </c>
      <c r="F8" s="5" t="s">
        <v>164</v>
      </c>
      <c r="G8" s="5"/>
      <c r="H8" s="24" t="n">
        <v>45787</v>
      </c>
      <c r="I8" s="5" t="s">
        <v>46</v>
      </c>
      <c r="J8" s="5" t="s">
        <v>165</v>
      </c>
    </row>
    <row r="9" customFormat="false" ht="23" hidden="false" customHeight="true" outlineLevel="0" collapsed="false">
      <c r="A9" s="1" t="s">
        <v>169</v>
      </c>
      <c r="B9" s="7" t="n">
        <v>45778</v>
      </c>
      <c r="C9" s="1" t="s">
        <v>30</v>
      </c>
      <c r="D9" s="1" t="n">
        <v>1</v>
      </c>
      <c r="E9" s="9" t="n">
        <v>984000</v>
      </c>
      <c r="F9" s="1" t="s">
        <v>164</v>
      </c>
      <c r="G9" s="1"/>
      <c r="H9" s="23" t="n">
        <v>45818</v>
      </c>
      <c r="I9" s="1" t="s">
        <v>46</v>
      </c>
      <c r="J9" s="1" t="s">
        <v>165</v>
      </c>
    </row>
    <row r="10" customFormat="false" ht="23" hidden="false" customHeight="true" outlineLevel="0" collapsed="false">
      <c r="A10" s="5" t="s">
        <v>170</v>
      </c>
      <c r="B10" s="12" t="n">
        <v>45809</v>
      </c>
      <c r="C10" s="5" t="s">
        <v>30</v>
      </c>
      <c r="D10" s="5" t="n">
        <v>1</v>
      </c>
      <c r="E10" s="14" t="n">
        <v>1008000</v>
      </c>
      <c r="F10" s="5" t="s">
        <v>164</v>
      </c>
      <c r="G10" s="5"/>
      <c r="H10" s="24" t="n">
        <v>45848</v>
      </c>
      <c r="I10" s="5" t="s">
        <v>46</v>
      </c>
      <c r="J10" s="5" t="s">
        <v>165</v>
      </c>
    </row>
    <row r="11" customFormat="false" ht="23" hidden="false" customHeight="true" outlineLevel="0" collapsed="false">
      <c r="A11" s="1" t="s">
        <v>171</v>
      </c>
      <c r="B11" s="7" t="n">
        <v>45839</v>
      </c>
      <c r="C11" s="1" t="s">
        <v>30</v>
      </c>
      <c r="D11" s="1" t="n">
        <v>1</v>
      </c>
      <c r="E11" s="9" t="n">
        <v>948000</v>
      </c>
      <c r="F11" s="1" t="s">
        <v>164</v>
      </c>
      <c r="G11" s="1"/>
      <c r="H11" s="23" t="n">
        <v>45879</v>
      </c>
      <c r="I11" s="1" t="s">
        <v>46</v>
      </c>
      <c r="J11" s="1" t="s">
        <v>165</v>
      </c>
    </row>
    <row r="12" customFormat="false" ht="23" hidden="false" customHeight="true" outlineLevel="0" collapsed="false">
      <c r="A12" s="5" t="s">
        <v>172</v>
      </c>
      <c r="B12" s="12" t="n">
        <v>45870</v>
      </c>
      <c r="C12" s="5" t="s">
        <v>30</v>
      </c>
      <c r="D12" s="5" t="n">
        <v>1</v>
      </c>
      <c r="E12" s="14" t="n">
        <v>900000</v>
      </c>
      <c r="F12" s="5" t="s">
        <v>164</v>
      </c>
      <c r="G12" s="5"/>
      <c r="H12" s="24" t="n">
        <v>45910</v>
      </c>
      <c r="I12" s="5" t="s">
        <v>46</v>
      </c>
      <c r="J12" s="5" t="s">
        <v>165</v>
      </c>
    </row>
    <row r="13" customFormat="false" ht="23" hidden="false" customHeight="true" outlineLevel="0" collapsed="false">
      <c r="A13" s="1" t="s">
        <v>173</v>
      </c>
      <c r="B13" s="7" t="n">
        <v>45901</v>
      </c>
      <c r="C13" s="1" t="s">
        <v>30</v>
      </c>
      <c r="D13" s="1" t="n">
        <v>1</v>
      </c>
      <c r="E13" s="9" t="n">
        <v>996000</v>
      </c>
      <c r="F13" s="1" t="s">
        <v>164</v>
      </c>
      <c r="G13" s="1"/>
      <c r="H13" s="23" t="n">
        <v>45940</v>
      </c>
      <c r="I13" s="1" t="s">
        <v>46</v>
      </c>
      <c r="J13" s="1" t="s">
        <v>165</v>
      </c>
    </row>
    <row r="14" customFormat="false" ht="23" hidden="false" customHeight="true" outlineLevel="0" collapsed="false">
      <c r="A14" s="5" t="s">
        <v>174</v>
      </c>
      <c r="B14" s="12" t="n">
        <v>45931</v>
      </c>
      <c r="C14" s="5" t="s">
        <v>30</v>
      </c>
      <c r="D14" s="5" t="n">
        <v>1</v>
      </c>
      <c r="E14" s="14" t="n">
        <v>1056000</v>
      </c>
      <c r="F14" s="5" t="s">
        <v>164</v>
      </c>
      <c r="G14" s="5"/>
      <c r="H14" s="24" t="n">
        <v>45971</v>
      </c>
      <c r="I14" s="5" t="s">
        <v>46</v>
      </c>
      <c r="J14" s="5" t="s">
        <v>165</v>
      </c>
    </row>
    <row r="15" customFormat="false" ht="23" hidden="false" customHeight="true" outlineLevel="0" collapsed="false">
      <c r="A15" s="1" t="s">
        <v>175</v>
      </c>
      <c r="B15" s="7" t="n">
        <v>45962</v>
      </c>
      <c r="C15" s="1" t="s">
        <v>30</v>
      </c>
      <c r="D15" s="1" t="n">
        <v>1</v>
      </c>
      <c r="E15" s="9" t="n">
        <v>1104000</v>
      </c>
      <c r="F15" s="1" t="s">
        <v>164</v>
      </c>
      <c r="G15" s="1"/>
      <c r="H15" s="23" t="n">
        <v>46001</v>
      </c>
      <c r="I15" s="1" t="s">
        <v>46</v>
      </c>
      <c r="J15" s="1" t="s">
        <v>165</v>
      </c>
    </row>
    <row r="16" customFormat="false" ht="23" hidden="false" customHeight="true" outlineLevel="0" collapsed="false">
      <c r="A16" s="5" t="s">
        <v>176</v>
      </c>
      <c r="B16" s="12" t="n">
        <v>45992</v>
      </c>
      <c r="C16" s="5" t="s">
        <v>30</v>
      </c>
      <c r="D16" s="5" t="n">
        <v>1</v>
      </c>
      <c r="E16" s="14" t="n">
        <v>1248000</v>
      </c>
      <c r="F16" s="5" t="s">
        <v>164</v>
      </c>
      <c r="G16" s="5"/>
      <c r="H16" s="24" t="n">
        <v>46032</v>
      </c>
      <c r="I16" s="5" t="s">
        <v>46</v>
      </c>
      <c r="J16" s="5" t="s">
        <v>165</v>
      </c>
    </row>
    <row r="17" customFormat="false" ht="23" hidden="false" customHeight="true" outlineLevel="0" collapsed="false">
      <c r="A17" s="1" t="s">
        <v>177</v>
      </c>
      <c r="B17" s="7" t="n">
        <v>46023</v>
      </c>
      <c r="C17" s="1" t="s">
        <v>30</v>
      </c>
      <c r="D17" s="1" t="n">
        <v>1</v>
      </c>
      <c r="E17" s="9" t="n">
        <v>986000</v>
      </c>
      <c r="F17" s="1" t="s">
        <v>164</v>
      </c>
      <c r="G17" s="1"/>
      <c r="H17" s="23" t="n">
        <v>46063</v>
      </c>
      <c r="I17" s="1" t="s">
        <v>46</v>
      </c>
      <c r="J17" s="1" t="s">
        <v>165</v>
      </c>
    </row>
    <row r="18" customFormat="false" ht="23" hidden="false" customHeight="true" outlineLevel="0" collapsed="false">
      <c r="A18" s="5" t="s">
        <v>178</v>
      </c>
      <c r="B18" s="12" t="n">
        <v>46054</v>
      </c>
      <c r="C18" s="5" t="s">
        <v>30</v>
      </c>
      <c r="D18" s="5" t="n">
        <v>1</v>
      </c>
      <c r="E18" s="14" t="n">
        <v>1040000</v>
      </c>
      <c r="F18" s="5" t="s">
        <v>164</v>
      </c>
      <c r="G18" s="5"/>
      <c r="H18" s="24" t="n">
        <v>46091</v>
      </c>
      <c r="I18" s="5" t="s">
        <v>46</v>
      </c>
      <c r="J18" s="5" t="s">
        <v>165</v>
      </c>
    </row>
    <row r="19" customFormat="false" ht="23" hidden="false" customHeight="true" outlineLevel="0" collapsed="false">
      <c r="A19" s="1" t="s">
        <v>179</v>
      </c>
      <c r="B19" s="7" t="n">
        <v>46082</v>
      </c>
      <c r="C19" s="1" t="s">
        <v>30</v>
      </c>
      <c r="D19" s="1" t="n">
        <v>1</v>
      </c>
      <c r="E19" s="9" t="n">
        <v>1117000</v>
      </c>
      <c r="F19" s="1" t="s">
        <v>180</v>
      </c>
      <c r="G19" s="1" t="s">
        <v>181</v>
      </c>
      <c r="H19" s="23" t="n">
        <v>46152</v>
      </c>
      <c r="I19" s="1" t="s">
        <v>46</v>
      </c>
      <c r="J19" s="1" t="s">
        <v>182</v>
      </c>
    </row>
    <row r="20" customFormat="false" ht="23" hidden="false" customHeight="true" outlineLevel="0" collapsed="false">
      <c r="A20" s="5" t="s">
        <v>181</v>
      </c>
      <c r="B20" s="12" t="n">
        <v>46082</v>
      </c>
      <c r="C20" s="5" t="s">
        <v>30</v>
      </c>
      <c r="D20" s="5" t="n">
        <v>2</v>
      </c>
      <c r="E20" s="14" t="n">
        <v>1067000</v>
      </c>
      <c r="F20" s="5" t="s">
        <v>164</v>
      </c>
      <c r="G20" s="5"/>
      <c r="H20" s="24" t="n">
        <v>46162</v>
      </c>
      <c r="I20" s="5" t="s">
        <v>46</v>
      </c>
      <c r="J20" s="5" t="s">
        <v>183</v>
      </c>
    </row>
    <row r="21" customFormat="false" ht="23" hidden="false" customHeight="true" outlineLevel="0" collapsed="false">
      <c r="A21" s="1" t="s">
        <v>184</v>
      </c>
      <c r="B21" s="7" t="n">
        <v>46113</v>
      </c>
      <c r="C21" s="1" t="s">
        <v>30</v>
      </c>
      <c r="D21" s="1" t="n">
        <v>1</v>
      </c>
      <c r="E21" s="9" t="n">
        <v>1003000</v>
      </c>
      <c r="F21" s="1" t="s">
        <v>180</v>
      </c>
      <c r="G21" s="1" t="s">
        <v>185</v>
      </c>
      <c r="H21" s="23" t="n">
        <v>46152</v>
      </c>
      <c r="I21" s="1" t="s">
        <v>46</v>
      </c>
      <c r="J21" s="1" t="s">
        <v>182</v>
      </c>
    </row>
    <row r="22" customFormat="false" ht="23" hidden="false" customHeight="true" outlineLevel="0" collapsed="false">
      <c r="A22" s="5" t="s">
        <v>185</v>
      </c>
      <c r="B22" s="12" t="n">
        <v>46113</v>
      </c>
      <c r="C22" s="5" t="s">
        <v>30</v>
      </c>
      <c r="D22" s="5" t="n">
        <v>2</v>
      </c>
      <c r="E22" s="14" t="n">
        <v>1053000</v>
      </c>
      <c r="F22" s="5" t="s">
        <v>164</v>
      </c>
      <c r="G22" s="5"/>
      <c r="H22" s="24" t="n">
        <v>46162</v>
      </c>
      <c r="I22" s="5" t="s">
        <v>46</v>
      </c>
      <c r="J22" s="5" t="s">
        <v>183</v>
      </c>
    </row>
    <row r="23" customFormat="false" ht="23" hidden="false" customHeight="true" outlineLevel="0" collapsed="false">
      <c r="A23" s="1" t="s">
        <v>186</v>
      </c>
      <c r="B23" s="7" t="n">
        <v>46143</v>
      </c>
      <c r="C23" s="1" t="s">
        <v>30</v>
      </c>
      <c r="D23" s="1" t="n">
        <v>1</v>
      </c>
      <c r="E23" s="9" t="n">
        <v>1107000</v>
      </c>
      <c r="F23" s="1" t="s">
        <v>164</v>
      </c>
      <c r="G23" s="1"/>
      <c r="H23" s="23" t="n">
        <v>46183</v>
      </c>
      <c r="I23" s="1" t="s">
        <v>46</v>
      </c>
      <c r="J23" s="1" t="s">
        <v>165</v>
      </c>
    </row>
    <row r="24" customFormat="false" ht="23" hidden="false" customHeight="true" outlineLevel="0" collapsed="false">
      <c r="A24" s="5" t="s">
        <v>187</v>
      </c>
      <c r="B24" s="12" t="n">
        <v>46174</v>
      </c>
      <c r="C24" s="5" t="s">
        <v>30</v>
      </c>
      <c r="D24" s="5" t="n">
        <v>1</v>
      </c>
      <c r="E24" s="14" t="n">
        <v>1148000</v>
      </c>
      <c r="F24" s="5" t="s">
        <v>164</v>
      </c>
      <c r="G24" s="5"/>
      <c r="H24" s="24" t="n">
        <v>46213</v>
      </c>
      <c r="I24" s="5" t="s">
        <v>46</v>
      </c>
      <c r="J24" s="5" t="s">
        <v>165</v>
      </c>
    </row>
    <row r="25" customFormat="false" ht="23" hidden="false" customHeight="true" outlineLevel="0" collapsed="false">
      <c r="A25" s="1" t="s">
        <v>188</v>
      </c>
      <c r="B25" s="7" t="n">
        <v>46204</v>
      </c>
      <c r="C25" s="1" t="s">
        <v>30</v>
      </c>
      <c r="D25" s="1" t="n">
        <v>1</v>
      </c>
      <c r="E25" s="9" t="n">
        <v>1094000</v>
      </c>
      <c r="F25" s="1" t="s">
        <v>164</v>
      </c>
      <c r="G25" s="1"/>
      <c r="H25" s="23" t="n">
        <v>46244</v>
      </c>
      <c r="I25" s="1" t="s">
        <v>46</v>
      </c>
      <c r="J25" s="1" t="s">
        <v>165</v>
      </c>
    </row>
    <row r="26" customFormat="false" ht="23" hidden="false" customHeight="true" outlineLevel="0" collapsed="false">
      <c r="A26" s="5" t="s">
        <v>189</v>
      </c>
      <c r="B26" s="12" t="n">
        <v>46235</v>
      </c>
      <c r="C26" s="5" t="s">
        <v>30</v>
      </c>
      <c r="D26" s="5" t="n">
        <v>1</v>
      </c>
      <c r="E26" s="14" t="n">
        <v>1040000</v>
      </c>
      <c r="F26" s="5" t="s">
        <v>164</v>
      </c>
      <c r="G26" s="5"/>
      <c r="H26" s="24" t="n">
        <v>46275</v>
      </c>
      <c r="I26" s="5" t="s">
        <v>46</v>
      </c>
      <c r="J26" s="5" t="s">
        <v>165</v>
      </c>
    </row>
    <row r="27" customFormat="false" ht="23" hidden="false" customHeight="true" outlineLevel="0" collapsed="false">
      <c r="A27" s="1" t="s">
        <v>190</v>
      </c>
      <c r="B27" s="7" t="n">
        <v>46266</v>
      </c>
      <c r="C27" s="1" t="s">
        <v>30</v>
      </c>
      <c r="D27" s="1" t="n">
        <v>1</v>
      </c>
      <c r="E27" s="9" t="n">
        <v>1134000</v>
      </c>
      <c r="F27" s="1" t="s">
        <v>164</v>
      </c>
      <c r="G27" s="1"/>
      <c r="H27" s="23" t="n">
        <v>46305</v>
      </c>
      <c r="I27" s="1" t="s">
        <v>46</v>
      </c>
      <c r="J27" s="1" t="s">
        <v>165</v>
      </c>
    </row>
    <row r="28" customFormat="false" ht="23" hidden="false" customHeight="true" outlineLevel="0" collapsed="false">
      <c r="A28" s="5" t="s">
        <v>191</v>
      </c>
      <c r="B28" s="12" t="n">
        <v>46296</v>
      </c>
      <c r="C28" s="5" t="s">
        <v>30</v>
      </c>
      <c r="D28" s="5" t="n">
        <v>1</v>
      </c>
      <c r="E28" s="14" t="n">
        <v>1215000</v>
      </c>
      <c r="F28" s="5" t="s">
        <v>164</v>
      </c>
      <c r="G28" s="5"/>
      <c r="H28" s="24" t="n">
        <v>46336</v>
      </c>
      <c r="I28" s="5" t="s">
        <v>46</v>
      </c>
      <c r="J28" s="5" t="s">
        <v>165</v>
      </c>
    </row>
    <row r="29" customFormat="false" ht="23" hidden="false" customHeight="true" outlineLevel="0" collapsed="false">
      <c r="A29" s="1" t="s">
        <v>192</v>
      </c>
      <c r="B29" s="7" t="n">
        <v>46327</v>
      </c>
      <c r="C29" s="1" t="s">
        <v>30</v>
      </c>
      <c r="D29" s="1" t="n">
        <v>1</v>
      </c>
      <c r="E29" s="9" t="n">
        <v>1269000</v>
      </c>
      <c r="F29" s="1" t="s">
        <v>164</v>
      </c>
      <c r="G29" s="1"/>
      <c r="H29" s="23" t="n">
        <v>46366</v>
      </c>
      <c r="I29" s="1" t="s">
        <v>46</v>
      </c>
      <c r="J29" s="1" t="s">
        <v>165</v>
      </c>
    </row>
    <row r="30" customFormat="false" ht="23" hidden="false" customHeight="true" outlineLevel="0" collapsed="false">
      <c r="A30" s="5" t="s">
        <v>193</v>
      </c>
      <c r="B30" s="12" t="n">
        <v>46357</v>
      </c>
      <c r="C30" s="5" t="s">
        <v>30</v>
      </c>
      <c r="D30" s="5" t="n">
        <v>1</v>
      </c>
      <c r="E30" s="14" t="n">
        <v>1347000</v>
      </c>
      <c r="F30" s="5" t="s">
        <v>164</v>
      </c>
      <c r="G30" s="5"/>
      <c r="H30" s="24" t="n">
        <v>46397</v>
      </c>
      <c r="I30" s="5" t="s">
        <v>46</v>
      </c>
      <c r="J30" s="5" t="s">
        <v>165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3.02"/>
    <col collapsed="false" customWidth="true" hidden="false" outlineLevel="0" max="2" min="2" style="0" width="24"/>
    <col collapsed="false" customWidth="true" hidden="false" outlineLevel="0" max="3" min="3" style="0" width="22.01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22.01"/>
    <col collapsed="false" customWidth="true" hidden="false" outlineLevel="0" max="9" min="9" style="0" width="27.99"/>
    <col collapsed="false" customWidth="true" hidden="false" outlineLevel="0" max="1025" min="10" style="0" width="8.45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23" hidden="false" customHeight="true" outlineLevel="0" collapsed="false">
      <c r="A2" s="2" t="s">
        <v>194</v>
      </c>
      <c r="B2" s="1"/>
      <c r="C2" s="1"/>
      <c r="D2" s="1"/>
      <c r="E2" s="1"/>
      <c r="F2" s="1"/>
      <c r="G2" s="1"/>
      <c r="H2" s="1"/>
      <c r="I2" s="1"/>
    </row>
    <row r="3" customFormat="false" ht="2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32" hidden="false" customHeight="true" outlineLevel="0" collapsed="false">
      <c r="A4" s="3" t="s">
        <v>28</v>
      </c>
      <c r="B4" s="3" t="s">
        <v>195</v>
      </c>
      <c r="C4" s="3" t="s">
        <v>196</v>
      </c>
      <c r="D4" s="3" t="s">
        <v>197</v>
      </c>
      <c r="E4" s="3" t="s">
        <v>198</v>
      </c>
      <c r="F4" s="3" t="s">
        <v>199</v>
      </c>
      <c r="G4" s="3" t="s">
        <v>200</v>
      </c>
      <c r="H4" s="3" t="s">
        <v>42</v>
      </c>
      <c r="I4" s="3" t="s">
        <v>201</v>
      </c>
    </row>
    <row r="5" customFormat="false" ht="23" hidden="false" customHeight="true" outlineLevel="0" collapsed="false">
      <c r="A5" s="25" t="n">
        <v>45658</v>
      </c>
      <c r="B5" s="9" t="n">
        <v>30000</v>
      </c>
      <c r="C5" s="9" t="n">
        <v>20000</v>
      </c>
      <c r="D5" s="8" t="s">
        <v>202</v>
      </c>
      <c r="E5" s="1"/>
      <c r="F5" s="1"/>
      <c r="G5" s="1" t="s">
        <v>203</v>
      </c>
      <c r="H5" s="1" t="s">
        <v>204</v>
      </c>
      <c r="I5" s="1" t="s">
        <v>205</v>
      </c>
    </row>
    <row r="6" customFormat="false" ht="23" hidden="false" customHeight="true" outlineLevel="0" collapsed="false">
      <c r="A6" s="26" t="n">
        <v>45689</v>
      </c>
      <c r="B6" s="14" t="n">
        <v>30000</v>
      </c>
      <c r="C6" s="14" t="n">
        <v>20000</v>
      </c>
      <c r="D6" s="13" t="s">
        <v>202</v>
      </c>
      <c r="E6" s="5"/>
      <c r="F6" s="5"/>
      <c r="G6" s="5" t="s">
        <v>203</v>
      </c>
      <c r="H6" s="5" t="s">
        <v>206</v>
      </c>
      <c r="I6" s="5" t="s">
        <v>205</v>
      </c>
    </row>
    <row r="7" customFormat="false" ht="23" hidden="false" customHeight="true" outlineLevel="0" collapsed="false">
      <c r="A7" s="25" t="n">
        <v>45717</v>
      </c>
      <c r="B7" s="9" t="n">
        <v>30000</v>
      </c>
      <c r="C7" s="9" t="n">
        <v>20000</v>
      </c>
      <c r="D7" s="8" t="s">
        <v>202</v>
      </c>
      <c r="E7" s="1"/>
      <c r="F7" s="1"/>
      <c r="G7" s="1" t="s">
        <v>203</v>
      </c>
      <c r="H7" s="1" t="s">
        <v>207</v>
      </c>
      <c r="I7" s="1" t="s">
        <v>205</v>
      </c>
    </row>
    <row r="8" customFormat="false" ht="23" hidden="false" customHeight="true" outlineLevel="0" collapsed="false">
      <c r="A8" s="26" t="n">
        <v>45748</v>
      </c>
      <c r="B8" s="14" t="n">
        <v>30000</v>
      </c>
      <c r="C8" s="14" t="n">
        <v>20000</v>
      </c>
      <c r="D8" s="13" t="s">
        <v>202</v>
      </c>
      <c r="E8" s="5"/>
      <c r="F8" s="5"/>
      <c r="G8" s="5" t="s">
        <v>203</v>
      </c>
      <c r="H8" s="5" t="s">
        <v>208</v>
      </c>
      <c r="I8" s="5" t="s">
        <v>205</v>
      </c>
    </row>
    <row r="9" customFormat="false" ht="23" hidden="false" customHeight="true" outlineLevel="0" collapsed="false">
      <c r="A9" s="25" t="n">
        <v>45778</v>
      </c>
      <c r="B9" s="9" t="n">
        <v>30000</v>
      </c>
      <c r="C9" s="9" t="n">
        <v>20000</v>
      </c>
      <c r="D9" s="8" t="s">
        <v>202</v>
      </c>
      <c r="E9" s="1"/>
      <c r="F9" s="1"/>
      <c r="G9" s="1" t="s">
        <v>203</v>
      </c>
      <c r="H9" s="1" t="s">
        <v>209</v>
      </c>
      <c r="I9" s="1" t="s">
        <v>205</v>
      </c>
    </row>
    <row r="10" customFormat="false" ht="23" hidden="false" customHeight="true" outlineLevel="0" collapsed="false">
      <c r="A10" s="26" t="n">
        <v>45809</v>
      </c>
      <c r="B10" s="14" t="n">
        <v>30000</v>
      </c>
      <c r="C10" s="14" t="n">
        <v>20000</v>
      </c>
      <c r="D10" s="13" t="s">
        <v>202</v>
      </c>
      <c r="E10" s="5"/>
      <c r="F10" s="5"/>
      <c r="G10" s="5" t="s">
        <v>203</v>
      </c>
      <c r="H10" s="5" t="s">
        <v>210</v>
      </c>
      <c r="I10" s="5" t="s">
        <v>205</v>
      </c>
    </row>
    <row r="11" customFormat="false" ht="23" hidden="false" customHeight="true" outlineLevel="0" collapsed="false">
      <c r="A11" s="25" t="n">
        <v>45839</v>
      </c>
      <c r="B11" s="9" t="n">
        <v>30000</v>
      </c>
      <c r="C11" s="9" t="n">
        <v>20000</v>
      </c>
      <c r="D11" s="8" t="s">
        <v>202</v>
      </c>
      <c r="E11" s="1"/>
      <c r="F11" s="1"/>
      <c r="G11" s="1" t="s">
        <v>203</v>
      </c>
      <c r="H11" s="1" t="s">
        <v>211</v>
      </c>
      <c r="I11" s="1" t="s">
        <v>205</v>
      </c>
    </row>
    <row r="12" customFormat="false" ht="23" hidden="false" customHeight="true" outlineLevel="0" collapsed="false">
      <c r="A12" s="26" t="n">
        <v>45870</v>
      </c>
      <c r="B12" s="14" t="n">
        <v>30000</v>
      </c>
      <c r="C12" s="14" t="n">
        <v>20000</v>
      </c>
      <c r="D12" s="13" t="s">
        <v>202</v>
      </c>
      <c r="E12" s="5"/>
      <c r="F12" s="5"/>
      <c r="G12" s="5" t="s">
        <v>203</v>
      </c>
      <c r="H12" s="5" t="s">
        <v>212</v>
      </c>
      <c r="I12" s="5" t="s">
        <v>205</v>
      </c>
    </row>
    <row r="13" customFormat="false" ht="23" hidden="false" customHeight="true" outlineLevel="0" collapsed="false">
      <c r="A13" s="25" t="n">
        <v>45901</v>
      </c>
      <c r="B13" s="9" t="n">
        <v>30000</v>
      </c>
      <c r="C13" s="9" t="n">
        <v>20000</v>
      </c>
      <c r="D13" s="8" t="s">
        <v>202</v>
      </c>
      <c r="E13" s="1"/>
      <c r="F13" s="1"/>
      <c r="G13" s="1" t="s">
        <v>203</v>
      </c>
      <c r="H13" s="1" t="s">
        <v>213</v>
      </c>
      <c r="I13" s="1" t="s">
        <v>205</v>
      </c>
    </row>
    <row r="14" customFormat="false" ht="23" hidden="false" customHeight="true" outlineLevel="0" collapsed="false">
      <c r="A14" s="26" t="n">
        <v>45931</v>
      </c>
      <c r="B14" s="14" t="n">
        <v>30000</v>
      </c>
      <c r="C14" s="14" t="n">
        <v>20000</v>
      </c>
      <c r="D14" s="13" t="s">
        <v>202</v>
      </c>
      <c r="E14" s="5"/>
      <c r="F14" s="5"/>
      <c r="G14" s="5" t="s">
        <v>203</v>
      </c>
      <c r="H14" s="5" t="s">
        <v>214</v>
      </c>
      <c r="I14" s="5" t="s">
        <v>205</v>
      </c>
    </row>
    <row r="15" customFormat="false" ht="23" hidden="false" customHeight="true" outlineLevel="0" collapsed="false">
      <c r="A15" s="25" t="n">
        <v>45962</v>
      </c>
      <c r="B15" s="9" t="n">
        <v>30000</v>
      </c>
      <c r="C15" s="9" t="n">
        <v>20000</v>
      </c>
      <c r="D15" s="8" t="s">
        <v>202</v>
      </c>
      <c r="E15" s="1"/>
      <c r="F15" s="1"/>
      <c r="G15" s="1" t="s">
        <v>203</v>
      </c>
      <c r="H15" s="1" t="s">
        <v>215</v>
      </c>
      <c r="I15" s="1" t="s">
        <v>205</v>
      </c>
    </row>
    <row r="16" customFormat="false" ht="23" hidden="false" customHeight="true" outlineLevel="0" collapsed="false">
      <c r="A16" s="26" t="n">
        <v>45992</v>
      </c>
      <c r="B16" s="14" t="n">
        <v>30000</v>
      </c>
      <c r="C16" s="14" t="n">
        <v>20000</v>
      </c>
      <c r="D16" s="13" t="s">
        <v>202</v>
      </c>
      <c r="E16" s="5"/>
      <c r="F16" s="5"/>
      <c r="G16" s="5" t="s">
        <v>203</v>
      </c>
      <c r="H16" s="5" t="s">
        <v>216</v>
      </c>
      <c r="I16" s="5" t="s">
        <v>205</v>
      </c>
    </row>
    <row r="17" customFormat="false" ht="23" hidden="false" customHeight="true" outlineLevel="0" collapsed="false">
      <c r="A17" s="25" t="n">
        <v>46023</v>
      </c>
      <c r="B17" s="9" t="n">
        <v>30000</v>
      </c>
      <c r="C17" s="9" t="n">
        <v>20000</v>
      </c>
      <c r="D17" s="8" t="s">
        <v>202</v>
      </c>
      <c r="E17" s="1"/>
      <c r="F17" s="1"/>
      <c r="G17" s="1" t="s">
        <v>203</v>
      </c>
      <c r="H17" s="1" t="s">
        <v>217</v>
      </c>
      <c r="I17" s="1" t="s">
        <v>205</v>
      </c>
    </row>
    <row r="18" customFormat="false" ht="23" hidden="false" customHeight="true" outlineLevel="0" collapsed="false">
      <c r="A18" s="26" t="n">
        <v>46054</v>
      </c>
      <c r="B18" s="14" t="n">
        <v>30000</v>
      </c>
      <c r="C18" s="14" t="n">
        <v>20000</v>
      </c>
      <c r="D18" s="13" t="s">
        <v>202</v>
      </c>
      <c r="E18" s="5"/>
      <c r="F18" s="5"/>
      <c r="G18" s="5" t="s">
        <v>203</v>
      </c>
      <c r="H18" s="5" t="s">
        <v>218</v>
      </c>
      <c r="I18" s="5" t="s">
        <v>205</v>
      </c>
    </row>
    <row r="19" customFormat="false" ht="23" hidden="false" customHeight="true" outlineLevel="0" collapsed="false">
      <c r="A19" s="25" t="n">
        <v>46082</v>
      </c>
      <c r="B19" s="9" t="n">
        <v>30000</v>
      </c>
      <c r="C19" s="9" t="n">
        <v>20000</v>
      </c>
      <c r="D19" s="8" t="s">
        <v>202</v>
      </c>
      <c r="E19" s="1"/>
      <c r="F19" s="1"/>
      <c r="G19" s="1" t="s">
        <v>203</v>
      </c>
      <c r="H19" s="1" t="s">
        <v>219</v>
      </c>
      <c r="I19" s="1" t="s">
        <v>205</v>
      </c>
    </row>
    <row r="20" customFormat="false" ht="23" hidden="false" customHeight="true" outlineLevel="0" collapsed="false">
      <c r="A20" s="26" t="n">
        <v>46113</v>
      </c>
      <c r="B20" s="14" t="n">
        <v>30000</v>
      </c>
      <c r="C20" s="14" t="n">
        <v>20000</v>
      </c>
      <c r="D20" s="13" t="s">
        <v>202</v>
      </c>
      <c r="E20" s="5"/>
      <c r="F20" s="5"/>
      <c r="G20" s="5" t="s">
        <v>203</v>
      </c>
      <c r="H20" s="5" t="s">
        <v>220</v>
      </c>
      <c r="I20" s="5" t="s">
        <v>205</v>
      </c>
    </row>
    <row r="21" customFormat="false" ht="23" hidden="false" customHeight="true" outlineLevel="0" collapsed="false">
      <c r="A21" s="25" t="n">
        <v>46143</v>
      </c>
      <c r="B21" s="9" t="n">
        <v>30000</v>
      </c>
      <c r="C21" s="9" t="n">
        <v>20000</v>
      </c>
      <c r="D21" s="8" t="s">
        <v>202</v>
      </c>
      <c r="E21" s="1"/>
      <c r="F21" s="1"/>
      <c r="G21" s="1" t="s">
        <v>203</v>
      </c>
      <c r="H21" s="1" t="s">
        <v>221</v>
      </c>
      <c r="I21" s="1" t="s">
        <v>205</v>
      </c>
    </row>
    <row r="22" customFormat="false" ht="23" hidden="false" customHeight="true" outlineLevel="0" collapsed="false">
      <c r="A22" s="26" t="n">
        <v>46174</v>
      </c>
      <c r="B22" s="14" t="n">
        <v>30000</v>
      </c>
      <c r="C22" s="14" t="n">
        <v>20000</v>
      </c>
      <c r="D22" s="13" t="s">
        <v>202</v>
      </c>
      <c r="E22" s="5"/>
      <c r="F22" s="5"/>
      <c r="G22" s="5" t="s">
        <v>203</v>
      </c>
      <c r="H22" s="5" t="s">
        <v>222</v>
      </c>
      <c r="I22" s="5" t="s">
        <v>205</v>
      </c>
    </row>
    <row r="23" customFormat="false" ht="23" hidden="false" customHeight="true" outlineLevel="0" collapsed="false">
      <c r="A23" s="25" t="n">
        <v>46204</v>
      </c>
      <c r="B23" s="9" t="n">
        <v>30000</v>
      </c>
      <c r="C23" s="9" t="n">
        <v>20000</v>
      </c>
      <c r="D23" s="8" t="s">
        <v>202</v>
      </c>
      <c r="E23" s="1"/>
      <c r="F23" s="1" t="n">
        <v>11000</v>
      </c>
      <c r="G23" s="1" t="s">
        <v>223</v>
      </c>
      <c r="H23" s="1" t="s">
        <v>224</v>
      </c>
      <c r="I23" s="1" t="s">
        <v>205</v>
      </c>
    </row>
    <row r="24" customFormat="false" ht="23" hidden="false" customHeight="true" outlineLevel="0" collapsed="false">
      <c r="A24" s="26" t="n">
        <v>46235</v>
      </c>
      <c r="B24" s="14" t="n">
        <v>30000</v>
      </c>
      <c r="C24" s="14" t="n">
        <v>20000</v>
      </c>
      <c r="D24" s="13" t="s">
        <v>202</v>
      </c>
      <c r="E24" s="5"/>
      <c r="F24" s="5" t="n">
        <v>11250</v>
      </c>
      <c r="G24" s="5" t="s">
        <v>223</v>
      </c>
      <c r="H24" s="5" t="s">
        <v>225</v>
      </c>
      <c r="I24" s="5" t="s">
        <v>205</v>
      </c>
    </row>
    <row r="25" customFormat="false" ht="23" hidden="false" customHeight="true" outlineLevel="0" collapsed="false">
      <c r="A25" s="25" t="n">
        <v>46266</v>
      </c>
      <c r="B25" s="9" t="n">
        <v>30000</v>
      </c>
      <c r="C25" s="9" t="n">
        <v>20000</v>
      </c>
      <c r="D25" s="8" t="s">
        <v>202</v>
      </c>
      <c r="E25" s="1"/>
      <c r="F25" s="1" t="n">
        <v>11500</v>
      </c>
      <c r="G25" s="1" t="s">
        <v>223</v>
      </c>
      <c r="H25" s="1" t="s">
        <v>226</v>
      </c>
      <c r="I25" s="1" t="s">
        <v>205</v>
      </c>
    </row>
    <row r="26" customFormat="false" ht="23" hidden="false" customHeight="true" outlineLevel="0" collapsed="false">
      <c r="A26" s="26" t="n">
        <v>46296</v>
      </c>
      <c r="B26" s="14" t="n">
        <v>30000</v>
      </c>
      <c r="C26" s="14" t="n">
        <v>20000</v>
      </c>
      <c r="D26" s="13" t="s">
        <v>202</v>
      </c>
      <c r="E26" s="5"/>
      <c r="F26" s="5" t="n">
        <v>11750</v>
      </c>
      <c r="G26" s="5" t="s">
        <v>223</v>
      </c>
      <c r="H26" s="5" t="s">
        <v>227</v>
      </c>
      <c r="I26" s="5" t="s">
        <v>205</v>
      </c>
    </row>
    <row r="27" customFormat="false" ht="23" hidden="false" customHeight="true" outlineLevel="0" collapsed="false">
      <c r="A27" s="25" t="n">
        <v>46327</v>
      </c>
      <c r="B27" s="9" t="n">
        <v>30000</v>
      </c>
      <c r="C27" s="9" t="n">
        <v>20000</v>
      </c>
      <c r="D27" s="8" t="s">
        <v>202</v>
      </c>
      <c r="E27" s="1"/>
      <c r="F27" s="1" t="n">
        <v>12000</v>
      </c>
      <c r="G27" s="1" t="s">
        <v>223</v>
      </c>
      <c r="H27" s="1" t="s">
        <v>228</v>
      </c>
      <c r="I27" s="1" t="s">
        <v>205</v>
      </c>
    </row>
    <row r="28" customFormat="false" ht="23" hidden="false" customHeight="true" outlineLevel="0" collapsed="false">
      <c r="A28" s="26" t="n">
        <v>46357</v>
      </c>
      <c r="B28" s="14" t="n">
        <v>30000</v>
      </c>
      <c r="C28" s="14" t="n">
        <v>20000</v>
      </c>
      <c r="D28" s="13" t="s">
        <v>202</v>
      </c>
      <c r="E28" s="5"/>
      <c r="F28" s="5" t="n">
        <v>12250</v>
      </c>
      <c r="G28" s="5" t="s">
        <v>223</v>
      </c>
      <c r="H28" s="5" t="s">
        <v>229</v>
      </c>
      <c r="I28" s="5" t="s">
        <v>205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27.99"/>
    <col collapsed="false" customWidth="true" hidden="false" outlineLevel="0" max="3" min="3" style="0" width="22.01"/>
    <col collapsed="false" customWidth="true" hidden="false" outlineLevel="0" max="4" min="4" style="0" width="24"/>
    <col collapsed="false" customWidth="true" hidden="false" outlineLevel="0" max="5" min="5" style="0" width="30.02"/>
    <col collapsed="false" customWidth="true" hidden="false" outlineLevel="0" max="6" min="6" style="0" width="34"/>
    <col collapsed="false" customWidth="true" hidden="false" outlineLevel="0" max="7" min="7" style="0" width="66"/>
    <col collapsed="false" customWidth="true" hidden="false" outlineLevel="0" max="8" min="8" style="0" width="44.99"/>
    <col collapsed="false" customWidth="true" hidden="false" outlineLevel="0" max="9" min="9" style="0" width="60"/>
    <col collapsed="false" customWidth="true" hidden="false" outlineLevel="0" max="1025" min="10" style="0" width="8.45"/>
  </cols>
  <sheetData>
    <row r="1" customFormat="false" ht="2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23" hidden="false" customHeight="true" outlineLevel="0" collapsed="false">
      <c r="A2" s="2" t="s">
        <v>230</v>
      </c>
      <c r="B2" s="1"/>
      <c r="C2" s="1"/>
      <c r="D2" s="1"/>
      <c r="E2" s="1"/>
      <c r="F2" s="1"/>
      <c r="G2" s="1"/>
      <c r="H2" s="1"/>
      <c r="I2" s="1"/>
    </row>
    <row r="3" customFormat="false" ht="2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32" hidden="false" customHeight="true" outlineLevel="0" collapsed="false">
      <c r="A4" s="3" t="s">
        <v>44</v>
      </c>
      <c r="B4" s="3" t="s">
        <v>231</v>
      </c>
      <c r="C4" s="3" t="s">
        <v>232</v>
      </c>
      <c r="D4" s="3" t="s">
        <v>233</v>
      </c>
      <c r="E4" s="3" t="s">
        <v>234</v>
      </c>
      <c r="F4" s="3" t="s">
        <v>235</v>
      </c>
      <c r="G4" s="3" t="s">
        <v>236</v>
      </c>
      <c r="H4" s="3" t="s">
        <v>237</v>
      </c>
      <c r="I4" s="3" t="s">
        <v>238</v>
      </c>
    </row>
    <row r="5" customFormat="false" ht="66" hidden="false" customHeight="true" outlineLevel="0" collapsed="false">
      <c r="A5" s="4" t="s">
        <v>46</v>
      </c>
      <c r="B5" s="4" t="s">
        <v>239</v>
      </c>
      <c r="C5" s="4" t="s">
        <v>240</v>
      </c>
      <c r="D5" s="4" t="s">
        <v>241</v>
      </c>
      <c r="E5" s="4" t="s">
        <v>242</v>
      </c>
      <c r="F5" s="4" t="s">
        <v>243</v>
      </c>
      <c r="G5" s="4" t="s">
        <v>244</v>
      </c>
      <c r="H5" s="4" t="s">
        <v>245</v>
      </c>
      <c r="I5" s="4" t="s">
        <v>246</v>
      </c>
    </row>
    <row r="6" customFormat="false" ht="66" hidden="false" customHeight="true" outlineLevel="0" collapsed="false">
      <c r="A6" s="6" t="s">
        <v>87</v>
      </c>
      <c r="B6" s="6" t="s">
        <v>239</v>
      </c>
      <c r="C6" s="6" t="s">
        <v>240</v>
      </c>
      <c r="D6" s="6" t="s">
        <v>247</v>
      </c>
      <c r="E6" s="6" t="s">
        <v>242</v>
      </c>
      <c r="F6" s="6" t="s">
        <v>243</v>
      </c>
      <c r="G6" s="6" t="s">
        <v>248</v>
      </c>
      <c r="H6" s="6" t="s">
        <v>249</v>
      </c>
      <c r="I6" s="6" t="s">
        <v>250</v>
      </c>
    </row>
    <row r="7" customFormat="false" ht="66" hidden="false" customHeight="true" outlineLevel="0" collapsed="false">
      <c r="A7" s="4" t="s">
        <v>121</v>
      </c>
      <c r="B7" s="4" t="s">
        <v>239</v>
      </c>
      <c r="C7" s="4" t="s">
        <v>240</v>
      </c>
      <c r="D7" s="4" t="s">
        <v>241</v>
      </c>
      <c r="E7" s="4" t="s">
        <v>242</v>
      </c>
      <c r="F7" s="4" t="s">
        <v>251</v>
      </c>
      <c r="G7" s="4" t="s">
        <v>252</v>
      </c>
      <c r="H7" s="4" t="s">
        <v>253</v>
      </c>
      <c r="I7" s="4" t="s">
        <v>254</v>
      </c>
    </row>
    <row r="8" customFormat="false" ht="66" hidden="false" customHeight="true" outlineLevel="0" collapsed="false">
      <c r="A8" s="6" t="s">
        <v>255</v>
      </c>
      <c r="B8" s="6" t="s">
        <v>239</v>
      </c>
      <c r="C8" s="6" t="s">
        <v>240</v>
      </c>
      <c r="D8" s="6" t="s">
        <v>256</v>
      </c>
      <c r="E8" s="6" t="s">
        <v>242</v>
      </c>
      <c r="F8" s="6" t="s">
        <v>257</v>
      </c>
      <c r="G8" s="6" t="s">
        <v>258</v>
      </c>
      <c r="H8" s="6" t="s">
        <v>259</v>
      </c>
      <c r="I8" s="6" t="s">
        <v>260</v>
      </c>
    </row>
    <row r="9" customFormat="false" ht="66" hidden="false" customHeight="true" outlineLevel="0" collapsed="false">
      <c r="A9" s="4" t="s">
        <v>261</v>
      </c>
      <c r="B9" s="4" t="s">
        <v>239</v>
      </c>
      <c r="C9" s="4" t="s">
        <v>262</v>
      </c>
      <c r="D9" s="4" t="s">
        <v>241</v>
      </c>
      <c r="E9" s="4" t="s">
        <v>263</v>
      </c>
      <c r="F9" s="4" t="s">
        <v>264</v>
      </c>
      <c r="G9" s="4" t="s">
        <v>265</v>
      </c>
      <c r="H9" s="4" t="s">
        <v>266</v>
      </c>
      <c r="I9" s="4" t="s">
        <v>267</v>
      </c>
    </row>
    <row r="10" customFormat="false" ht="66" hidden="false" customHeight="true" outlineLevel="0" collapsed="false">
      <c r="A10" s="6" t="s">
        <v>268</v>
      </c>
      <c r="B10" s="6" t="s">
        <v>239</v>
      </c>
      <c r="C10" s="6" t="s">
        <v>240</v>
      </c>
      <c r="D10" s="6" t="s">
        <v>269</v>
      </c>
      <c r="E10" s="6" t="s">
        <v>270</v>
      </c>
      <c r="F10" s="6" t="s">
        <v>271</v>
      </c>
      <c r="G10" s="6" t="s">
        <v>272</v>
      </c>
      <c r="H10" s="6" t="s">
        <v>273</v>
      </c>
      <c r="I10" s="6" t="s">
        <v>274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Spreadsheet</Application>
</Properties>
</file>

<file path=docProps/core.xml><?xml version="1.0" encoding="utf-8"?>
<cp:coreProperties xmlns:cp="http://schemas.openxmlformats.org/package/2006/metadata/core-properties" xmlns:dc="http://purl.org/dc/elements/1.1/">
  <dc:title>Golden Manufacturing Ltd v2.48 data pack</dc:title>
  <dc:description>Synthetic accounting and operational records.</dc:description>
</cp:coreProperties>
</file>